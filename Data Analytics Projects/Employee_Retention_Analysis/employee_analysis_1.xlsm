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jenna\Documents\"/>
    </mc:Choice>
  </mc:AlternateContent>
  <xr:revisionPtr revIDLastSave="0" documentId="13_ncr:1_{A00CDA50-ED05-453C-94CF-478AEE7905F2}" xr6:coauthVersionLast="47" xr6:coauthVersionMax="47" xr10:uidLastSave="{00000000-0000-0000-0000-000000000000}"/>
  <bookViews>
    <workbookView xWindow="-108" yWindow="-108" windowWidth="23256" windowHeight="13896" activeTab="7" xr2:uid="{457D37D0-0E35-405B-81C9-00A78D47E57F}"/>
  </bookViews>
  <sheets>
    <sheet name="Main Table" sheetId="2" r:id="rId1"/>
    <sheet name="Regression Analysis" sheetId="3" r:id="rId2"/>
    <sheet name="Retention Analysis" sheetId="1" r:id="rId3"/>
    <sheet name="Line charts" sheetId="23" r:id="rId4"/>
    <sheet name="Top 3 Employee Tenure" sheetId="21" r:id="rId5"/>
    <sheet name="Employee Retention by Dept" sheetId="25" r:id="rId6"/>
    <sheet name="Correlation Coefficient" sheetId="24" r:id="rId7"/>
    <sheet name="Extra columns for calculation" sheetId="22" r:id="rId8"/>
  </sheets>
  <definedNames>
    <definedName name="_xleta.DATE" hidden="1" xlm="1">#NAME?</definedName>
    <definedName name="_xleta.IF" hidden="1" xlm="1">#NAME?</definedName>
    <definedName name="_xleta.TRIM" hidden="1" xlm="1">#NAME?</definedName>
    <definedName name="_xlpm.End" hidden="1" xlm="1">#NAME?</definedName>
    <definedName name="_xlpm.EndDate" hidden="1" xlm="1">#NAME?</definedName>
    <definedName name="_xlpm.M" hidden="1" xlm="1">#NAME?</definedName>
    <definedName name="_xlpm.Start" hidden="1" xlm="1">#NAME?</definedName>
    <definedName name="_xlpm.Y" hidden="1" xlm="1">#NAME?</definedName>
    <definedName name="ExternalData_1" localSheetId="0" hidden="1">'Main Table'!$A$1:$Q$46</definedName>
  </definedNames>
  <calcPr calcId="191029"/>
  <pivotCaches>
    <pivotCache cacheId="4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/>
  <c r="DD2" i="2"/>
  <c r="DD3" i="2"/>
  <c r="DD4" i="2"/>
  <c r="DD5" i="2"/>
  <c r="DD6" i="2"/>
  <c r="DD7" i="2"/>
  <c r="DD8" i="2"/>
  <c r="DD9" i="2"/>
  <c r="DD10" i="2"/>
  <c r="DD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H14" i="1"/>
  <c r="H15" i="1"/>
  <c r="H16" i="1"/>
  <c r="H17" i="1"/>
  <c r="H18" i="1"/>
  <c r="S10" i="21"/>
  <c r="S12" i="21"/>
  <c r="S9" i="21"/>
  <c r="K4" i="21"/>
  <c r="J4" i="21"/>
  <c r="K3" i="21"/>
  <c r="J3" i="21"/>
  <c r="K2" i="21"/>
  <c r="J2" i="21"/>
  <c r="I29" i="1" l="1"/>
  <c r="H29" i="1"/>
  <c r="J29" i="1" s="1"/>
  <c r="K29" i="1" s="1"/>
  <c r="I28" i="1"/>
  <c r="H28" i="1"/>
  <c r="I27" i="1"/>
  <c r="H27" i="1"/>
  <c r="I26" i="1"/>
  <c r="H26" i="1"/>
  <c r="I25" i="1"/>
  <c r="H25" i="1"/>
  <c r="I24" i="1"/>
  <c r="H24" i="1"/>
  <c r="E28" i="1"/>
  <c r="D28" i="1"/>
  <c r="E27" i="1" s="1"/>
  <c r="D26" i="1"/>
  <c r="C28" i="1"/>
  <c r="E26" i="1" s="1"/>
  <c r="C27" i="1"/>
  <c r="B25" i="1"/>
  <c r="J4" i="2"/>
  <c r="J5" i="2"/>
  <c r="J23" i="2"/>
  <c r="J8" i="2"/>
  <c r="J2" i="2"/>
  <c r="J24" i="2"/>
  <c r="J11" i="2"/>
  <c r="J39" i="2"/>
  <c r="J19" i="2"/>
  <c r="J12" i="2"/>
  <c r="J3" i="2"/>
  <c r="J28" i="2"/>
  <c r="J20" i="2"/>
  <c r="J42" i="2"/>
  <c r="J33" i="2"/>
  <c r="J6" i="2"/>
  <c r="J7" i="2"/>
  <c r="J17" i="2"/>
  <c r="J40" i="2"/>
  <c r="J38" i="2"/>
  <c r="J9" i="2"/>
  <c r="J46" i="2"/>
  <c r="J31" i="2"/>
  <c r="J25" i="2"/>
  <c r="J36" i="2"/>
  <c r="J32" i="2"/>
  <c r="J13" i="2"/>
  <c r="J14" i="2"/>
  <c r="J15" i="2"/>
  <c r="J16" i="2"/>
  <c r="J27" i="2"/>
  <c r="J43" i="2"/>
  <c r="J35" i="2"/>
  <c r="J30" i="2"/>
  <c r="J18" i="2"/>
  <c r="J44" i="2"/>
  <c r="J29" i="2"/>
  <c r="J21" i="2"/>
  <c r="J22" i="2"/>
  <c r="J34" i="2"/>
  <c r="J45" i="2"/>
  <c r="J26" i="2"/>
  <c r="J41" i="2"/>
  <c r="J37" i="2"/>
  <c r="K4" i="2"/>
  <c r="K5" i="2"/>
  <c r="K23" i="2"/>
  <c r="K8" i="2"/>
  <c r="K2" i="2"/>
  <c r="K24" i="2"/>
  <c r="K11" i="2"/>
  <c r="K39" i="2"/>
  <c r="K19" i="2"/>
  <c r="K12" i="2"/>
  <c r="K3" i="2"/>
  <c r="K28" i="2"/>
  <c r="K20" i="2"/>
  <c r="K42" i="2"/>
  <c r="K33" i="2"/>
  <c r="K6" i="2"/>
  <c r="K7" i="2"/>
  <c r="K17" i="2"/>
  <c r="K40" i="2"/>
  <c r="K38" i="2"/>
  <c r="K9" i="2"/>
  <c r="K46" i="2"/>
  <c r="K31" i="2"/>
  <c r="K25" i="2"/>
  <c r="K36" i="2"/>
  <c r="K32" i="2"/>
  <c r="K13" i="2"/>
  <c r="K14" i="2"/>
  <c r="K15" i="2"/>
  <c r="K16" i="2"/>
  <c r="K27" i="2"/>
  <c r="K43" i="2"/>
  <c r="K35" i="2"/>
  <c r="K30" i="2"/>
  <c r="K18" i="2"/>
  <c r="K44" i="2"/>
  <c r="K29" i="2"/>
  <c r="K21" i="2"/>
  <c r="K22" i="2"/>
  <c r="K34" i="2"/>
  <c r="K45" i="2"/>
  <c r="K26" i="2"/>
  <c r="K41" i="2"/>
  <c r="K37" i="2"/>
  <c r="K10" i="2"/>
  <c r="B3" i="24" l="1"/>
  <c r="C3" i="24"/>
  <c r="J25" i="1"/>
  <c r="K25" i="1" s="1"/>
  <c r="J28" i="1"/>
  <c r="K28" i="1" s="1"/>
  <c r="J26" i="1"/>
  <c r="K26" i="1" s="1"/>
  <c r="J27" i="1"/>
  <c r="K27" i="1" s="1"/>
  <c r="J24" i="1"/>
  <c r="K24" i="1" s="1"/>
  <c r="E25" i="1"/>
  <c r="D25" i="1"/>
  <c r="B28" i="1"/>
  <c r="C25" i="1"/>
  <c r="B27" i="1"/>
  <c r="B26" i="1"/>
  <c r="J10" i="2"/>
  <c r="C2" i="1"/>
  <c r="C3" i="1"/>
  <c r="C4" i="1"/>
  <c r="C5" i="1"/>
  <c r="C6" i="1"/>
  <c r="C7" i="1"/>
  <c r="B2" i="1"/>
  <c r="B3" i="1"/>
  <c r="B4" i="1"/>
  <c r="B5" i="1"/>
  <c r="B6" i="1"/>
  <c r="B7" i="1"/>
  <c r="F5" i="1" l="1"/>
  <c r="F4" i="1"/>
  <c r="F3" i="1"/>
  <c r="D2" i="1"/>
  <c r="E2" i="1" s="1"/>
  <c r="F6" i="1"/>
  <c r="F7" i="1"/>
  <c r="F2" i="1"/>
  <c r="D5" i="1"/>
  <c r="E5" i="1" s="1"/>
  <c r="D4" i="1"/>
  <c r="E4" i="1" s="1"/>
  <c r="D3" i="1"/>
  <c r="E3" i="1" s="1"/>
  <c r="D7" i="1"/>
  <c r="E7" i="1" s="1"/>
  <c r="D6" i="1"/>
  <c r="E6" i="1" s="1"/>
  <c r="DE39" i="2" l="1"/>
  <c r="DG39" i="2"/>
  <c r="DF39" i="2"/>
  <c r="DE38" i="2"/>
  <c r="DG38" i="2"/>
  <c r="DF38" i="2"/>
  <c r="DF40" i="2"/>
  <c r="DG40" i="2"/>
  <c r="DE40" i="2"/>
  <c r="DG16" i="2"/>
  <c r="DE16" i="2"/>
  <c r="DF16" i="2"/>
  <c r="DG23" i="2"/>
  <c r="DE23" i="2"/>
  <c r="DF23" i="2"/>
  <c r="DG43" i="2"/>
  <c r="DF43" i="2"/>
  <c r="DE43" i="2"/>
  <c r="DE11" i="2"/>
  <c r="DF11" i="2"/>
  <c r="DG11" i="2"/>
  <c r="DF14" i="2"/>
  <c r="DG14" i="2"/>
  <c r="DE14" i="2"/>
  <c r="DF42" i="2"/>
  <c r="DE42" i="2"/>
  <c r="DG42" i="2"/>
  <c r="DE19" i="2"/>
  <c r="DG19" i="2"/>
  <c r="DF19" i="2"/>
  <c r="DF24" i="2"/>
  <c r="DG24" i="2"/>
  <c r="DE24" i="2"/>
  <c r="DE44" i="2"/>
  <c r="DG44" i="2"/>
  <c r="DF44" i="2"/>
  <c r="DG17" i="2"/>
  <c r="DF17" i="2"/>
  <c r="DE17" i="2"/>
  <c r="DE5" i="2"/>
  <c r="DF5" i="2"/>
  <c r="DG5" i="2"/>
  <c r="DF2" i="2"/>
  <c r="DE2" i="2"/>
  <c r="DG41" i="2"/>
  <c r="DF41" i="2"/>
  <c r="DE41" i="2"/>
  <c r="DE3" i="2"/>
  <c r="DF3" i="2"/>
  <c r="DG3" i="2"/>
  <c r="DE25" i="2"/>
  <c r="DG25" i="2"/>
  <c r="DF25" i="2"/>
  <c r="DE37" i="2"/>
  <c r="DG37" i="2"/>
  <c r="DF37" i="2"/>
  <c r="DF9" i="2"/>
  <c r="DG9" i="2"/>
  <c r="DE9" i="2"/>
  <c r="DE7" i="2"/>
  <c r="DG7" i="2"/>
  <c r="DF7" i="2"/>
  <c r="DE18" i="2"/>
  <c r="DG18" i="2"/>
  <c r="DF18" i="2"/>
  <c r="DE26" i="2"/>
  <c r="DG26" i="2"/>
  <c r="DF26" i="2"/>
  <c r="DF33" i="2"/>
  <c r="DE33" i="2"/>
  <c r="DG33" i="2"/>
  <c r="DE27" i="2"/>
  <c r="DF27" i="2"/>
  <c r="DG27" i="2"/>
  <c r="DF6" i="2"/>
  <c r="DE6" i="2"/>
  <c r="DG6" i="2"/>
  <c r="DE15" i="2"/>
  <c r="DF15" i="2"/>
  <c r="DG15" i="2"/>
  <c r="DG8" i="2"/>
  <c r="DE8" i="2"/>
  <c r="DF8" i="2"/>
  <c r="DG46" i="2"/>
  <c r="DE46" i="2"/>
  <c r="DF46" i="2"/>
  <c r="DE20" i="2"/>
  <c r="DG20" i="2"/>
  <c r="DF20" i="2"/>
  <c r="DE30" i="2"/>
  <c r="DG30" i="2"/>
  <c r="DF30" i="2"/>
  <c r="DE4" i="2"/>
  <c r="DG4" i="2"/>
  <c r="DF4" i="2"/>
  <c r="DG21" i="2"/>
  <c r="DE21" i="2"/>
  <c r="DF21" i="2"/>
  <c r="DG35" i="2"/>
  <c r="DE35" i="2"/>
  <c r="DF35" i="2"/>
  <c r="DG2" i="2"/>
  <c r="DG31" i="2"/>
  <c r="DE31" i="2"/>
  <c r="DF31" i="2"/>
  <c r="DE10" i="2"/>
  <c r="DG10" i="2"/>
  <c r="DF10" i="2"/>
  <c r="DE36" i="2"/>
  <c r="DG36" i="2"/>
  <c r="DF36" i="2"/>
  <c r="DF29" i="2"/>
  <c r="DG29" i="2"/>
  <c r="DE29" i="2"/>
  <c r="DG22" i="2"/>
  <c r="DF22" i="2"/>
  <c r="DE22" i="2"/>
  <c r="DF13" i="2"/>
  <c r="DG13" i="2"/>
  <c r="DE13" i="2"/>
  <c r="DE32" i="2"/>
  <c r="DF32" i="2"/>
  <c r="DG32" i="2"/>
  <c r="DG28" i="2"/>
  <c r="DE28" i="2"/>
  <c r="DF28" i="2"/>
  <c r="DE34" i="2"/>
  <c r="DF34" i="2"/>
  <c r="DG34" i="2"/>
  <c r="DG45" i="2"/>
  <c r="DE45" i="2"/>
  <c r="DF45" i="2"/>
  <c r="DG12" i="2"/>
  <c r="DF12" i="2"/>
  <c r="DE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1CB144-E39F-410B-AE82-208DD90730A5}" keepAlive="1" name="Query - employee_retention_analysis (version 1) xlsb" description="Connection to the 'employee_retention_analysis (version 1) xlsb' query in the workbook." type="5" refreshedVersion="8" background="1" saveData="1">
    <dbPr connection="Provider=Microsoft.Mashup.OleDb.1;Data Source=$Workbook$;Location=&quot;employee_retention_analysis (version 1) xlsb&quot;;Extended Properties=&quot;&quot;" command="SELECT * FROM [employee_retention_analysis (version 1) xlsb]"/>
  </connection>
</connections>
</file>

<file path=xl/sharedStrings.xml><?xml version="1.0" encoding="utf-8"?>
<sst xmlns="http://schemas.openxmlformats.org/spreadsheetml/2006/main" count="641" uniqueCount="343">
  <si>
    <t>Employee_ID</t>
  </si>
  <si>
    <t>Name</t>
  </si>
  <si>
    <t>Department</t>
  </si>
  <si>
    <t>Job_Title</t>
  </si>
  <si>
    <t>Skills</t>
  </si>
  <si>
    <t>Hire_Date</t>
  </si>
  <si>
    <t>Last_Working_Day</t>
  </si>
  <si>
    <t>Tenure &lt; 0.5 Years</t>
  </si>
  <si>
    <t>Performance_Score</t>
  </si>
  <si>
    <t>Training_Hours</t>
  </si>
  <si>
    <t>Salary</t>
  </si>
  <si>
    <t>Age</t>
  </si>
  <si>
    <t>Satisfaction</t>
  </si>
  <si>
    <t>E001</t>
  </si>
  <si>
    <t>Alice Carter</t>
  </si>
  <si>
    <t>IT</t>
  </si>
  <si>
    <t>Software Developer</t>
  </si>
  <si>
    <t>No</t>
  </si>
  <si>
    <t>E002</t>
  </si>
  <si>
    <t>Brian Lee</t>
  </si>
  <si>
    <t>Network Engineer</t>
  </si>
  <si>
    <t>Cisco IOS, VPNs, Firewalls, Wireshark</t>
  </si>
  <si>
    <t>E003</t>
  </si>
  <si>
    <t>Carla Ruiz</t>
  </si>
  <si>
    <t>HR</t>
  </si>
  <si>
    <t>HR Specialist</t>
  </si>
  <si>
    <t>HRIS, Excel, Communication, Interviewing</t>
  </si>
  <si>
    <t>E004</t>
  </si>
  <si>
    <t>Daniel Wright</t>
  </si>
  <si>
    <t>Finance</t>
  </si>
  <si>
    <t>Accountant</t>
  </si>
  <si>
    <t>Excel, QuickBooks, Tax Prep, Forecasting</t>
  </si>
  <si>
    <t>E005</t>
  </si>
  <si>
    <t>Emma Brown</t>
  </si>
  <si>
    <t>Admin</t>
  </si>
  <si>
    <t>Receptionist</t>
  </si>
  <si>
    <t>Scheduling, Outlook, Customer Service</t>
  </si>
  <si>
    <t>E006</t>
  </si>
  <si>
    <t>Frank Johnson</t>
  </si>
  <si>
    <t>SOC Analyst</t>
  </si>
  <si>
    <t>Splunk, SIEM, Threat Detection, Python</t>
  </si>
  <si>
    <t>E007</t>
  </si>
  <si>
    <t>Grace Kim</t>
  </si>
  <si>
    <t>Legal</t>
  </si>
  <si>
    <t>Legal Assistant</t>
  </si>
  <si>
    <t>Legal Research, Documentation, MS Word, Compliance</t>
  </si>
  <si>
    <t>Yes</t>
  </si>
  <si>
    <t>E008</t>
  </si>
  <si>
    <t>Henry Adams</t>
  </si>
  <si>
    <t>Java, Python, Cloud, Git</t>
  </si>
  <si>
    <t>E009</t>
  </si>
  <si>
    <t>Irene Patel</t>
  </si>
  <si>
    <t>Excel, SAP, Auditing, Financial Reports</t>
  </si>
  <si>
    <t>E010</t>
  </si>
  <si>
    <t>Jack Wilson</t>
  </si>
  <si>
    <t>Business</t>
  </si>
  <si>
    <t>Business Analyst</t>
  </si>
  <si>
    <t>Power BI, SQL, Data Modeling, Communication</t>
  </si>
  <si>
    <t>E011</t>
  </si>
  <si>
    <t>Karen Evans</t>
  </si>
  <si>
    <t>Office Manager</t>
  </si>
  <si>
    <t>Scheduling, Budgeting, Excel, Office Management</t>
  </si>
  <si>
    <t>E012</t>
  </si>
  <si>
    <t>Liam Hughes</t>
  </si>
  <si>
    <t>Cisco IOS, Network Security, Routing, Switching</t>
  </si>
  <si>
    <t>E013</t>
  </si>
  <si>
    <t>Monica Diaz</t>
  </si>
  <si>
    <t>Recruiter</t>
  </si>
  <si>
    <t>HRIS, Recruiting, Communication, Excel</t>
  </si>
  <si>
    <t>E014</t>
  </si>
  <si>
    <t>Noah Green</t>
  </si>
  <si>
    <t>Splunk, Threat Analysis, SIEM, Linux</t>
  </si>
  <si>
    <t>E015</t>
  </si>
  <si>
    <t>Olivia Ross</t>
  </si>
  <si>
    <t>Secretary</t>
  </si>
  <si>
    <t>Scheduling, Data Entry, Word, Communication</t>
  </si>
  <si>
    <t>E016</t>
  </si>
  <si>
    <t>Paul Baker</t>
  </si>
  <si>
    <t>Excel, SQL, Data Analysis, Power BI</t>
  </si>
  <si>
    <t>E017</t>
  </si>
  <si>
    <t>Quinn Lopez</t>
  </si>
  <si>
    <t>JavaScript, Python, Git, Agile</t>
  </si>
  <si>
    <t>E018</t>
  </si>
  <si>
    <t>Rachel Scott</t>
  </si>
  <si>
    <t>Paralegal</t>
  </si>
  <si>
    <t>Legal Drafting, Research, MS Word, Organization</t>
  </si>
  <si>
    <t>E019</t>
  </si>
  <si>
    <t>Samuel King</t>
  </si>
  <si>
    <t>Financial Analyst</t>
  </si>
  <si>
    <t>Excel, Forecasting, Financial Modeling, Power BI</t>
  </si>
  <si>
    <t>E020</t>
  </si>
  <si>
    <t>Tina Nguyen</t>
  </si>
  <si>
    <t>HR Manager</t>
  </si>
  <si>
    <t>HR Policy, Management, Excel, Communication</t>
  </si>
  <si>
    <t>E021</t>
  </si>
  <si>
    <t>Uma Clark</t>
  </si>
  <si>
    <t>Customer Service, Outlook, Communication</t>
  </si>
  <si>
    <t>E022</t>
  </si>
  <si>
    <t>Victor Perez</t>
  </si>
  <si>
    <t>Market Analyst</t>
  </si>
  <si>
    <t>Excel, Market Research, PowerPoint, Reporting</t>
  </si>
  <si>
    <t>E023</t>
  </si>
  <si>
    <t>Wendy Ortiz</t>
  </si>
  <si>
    <t>Network Security, VLANs, Firewalls, Troubleshooting</t>
  </si>
  <si>
    <t>E024</t>
  </si>
  <si>
    <t>Xavier James</t>
  </si>
  <si>
    <t>Accounting, Excel, Forecasting, SAP</t>
  </si>
  <si>
    <t>E025</t>
  </si>
  <si>
    <t>Yolanda Brooks</t>
  </si>
  <si>
    <t>E026</t>
  </si>
  <si>
    <t>Zachary Bell</t>
  </si>
  <si>
    <t>Python, Git, Cloud, Agile</t>
  </si>
  <si>
    <t>E027</t>
  </si>
  <si>
    <t>Amy Foster</t>
  </si>
  <si>
    <t>Power BI, SQL, Excel, Stakeholder Communication</t>
  </si>
  <si>
    <t>E028</t>
  </si>
  <si>
    <t>Ben Torres</t>
  </si>
  <si>
    <t>SIEM, Network Logs, Splunk, Threat Detection</t>
  </si>
  <si>
    <t>E029</t>
  </si>
  <si>
    <t>Chloe Murphy</t>
  </si>
  <si>
    <t>Excel, Scheduling, Communication, Time Management</t>
  </si>
  <si>
    <t>E030</t>
  </si>
  <si>
    <t>David Cook</t>
  </si>
  <si>
    <t>Excel, Forecasting, Finance, Reporting</t>
  </si>
  <si>
    <t>E031</t>
  </si>
  <si>
    <t>Elena Shaw</t>
  </si>
  <si>
    <t>Legal Counsel</t>
  </si>
  <si>
    <t>Legal Policy, Documentation, Drafting, Compliance</t>
  </si>
  <si>
    <t>E032</t>
  </si>
  <si>
    <t>Felix Rivera</t>
  </si>
  <si>
    <t>Cisco IOS, Network Design, Firewalls, Python</t>
  </si>
  <si>
    <t>E033</t>
  </si>
  <si>
    <t>Gina Long</t>
  </si>
  <si>
    <t>HR Coordinator</t>
  </si>
  <si>
    <t>HRIS, Recruiting, Excel, Communication</t>
  </si>
  <si>
    <t>E034</t>
  </si>
  <si>
    <t>Howard Allen</t>
  </si>
  <si>
    <t>Data Analyst</t>
  </si>
  <si>
    <t>Excel, Python, SQL, Data Visualization</t>
  </si>
  <si>
    <t>E035</t>
  </si>
  <si>
    <t>Isabella Price</t>
  </si>
  <si>
    <t>Python, Java, API Integration, Git</t>
  </si>
  <si>
    <t>E036</t>
  </si>
  <si>
    <t>Jason Lee</t>
  </si>
  <si>
    <t>Word, Scheduling, Outlook, Customer Service</t>
  </si>
  <si>
    <t>E037</t>
  </si>
  <si>
    <t>Kelly Martin</t>
  </si>
  <si>
    <t>Excel, Tax Prep, Forecasting, Financial Reporting</t>
  </si>
  <si>
    <t>E038</t>
  </si>
  <si>
    <t>Leo White</t>
  </si>
  <si>
    <t>Threat Hunting, SIEM, Python, Splunk</t>
  </si>
  <si>
    <t>E039</t>
  </si>
  <si>
    <t>Mia Hernandez</t>
  </si>
  <si>
    <t>HR Assistant</t>
  </si>
  <si>
    <t>HRIS, Payroll, Excel, Onboarding</t>
  </si>
  <si>
    <t>E040</t>
  </si>
  <si>
    <t>Nate Brooks</t>
  </si>
  <si>
    <t>Excel, SQL, Reporting, Communication</t>
  </si>
  <si>
    <t>E041</t>
  </si>
  <si>
    <t>Olivia James</t>
  </si>
  <si>
    <t>Legal Research, Drafting, Documentation, Compliance</t>
  </si>
  <si>
    <t>E042</t>
  </si>
  <si>
    <t>Peter Stone</t>
  </si>
  <si>
    <t>Cisco IOS, VPNs, Routing, Security</t>
  </si>
  <si>
    <t>E043</t>
  </si>
  <si>
    <t>Quinn Parker</t>
  </si>
  <si>
    <t>Outlook, Scheduling, Communication</t>
  </si>
  <si>
    <t>E044</t>
  </si>
  <si>
    <t>Ryan Ellis</t>
  </si>
  <si>
    <t>Excel, Financial Modeling, Forecasting, Reporting</t>
  </si>
  <si>
    <t>E045</t>
  </si>
  <si>
    <t>Sophia Carter</t>
  </si>
  <si>
    <t>Python, Excel, SQL, Data Analytics</t>
  </si>
  <si>
    <t>Year</t>
  </si>
  <si>
    <t>Employees at start</t>
  </si>
  <si>
    <t>Employees that left</t>
  </si>
  <si>
    <t>Employees Remaining</t>
  </si>
  <si>
    <t>Retention Rate</t>
  </si>
  <si>
    <t>Onboarding _Duration (Days)</t>
  </si>
  <si>
    <t>First_Working_Day</t>
  </si>
  <si>
    <t>Python, SQL, Excel, Git</t>
  </si>
  <si>
    <t>Tenure (Years, Months)</t>
  </si>
  <si>
    <t>Tenure (Years)</t>
  </si>
  <si>
    <t>Status</t>
  </si>
  <si>
    <t>Active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</si>
  <si>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</si>
  <si>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</si>
  <si>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</si>
  <si>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</si>
  <si>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</si>
  <si>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</si>
  <si>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</si>
  <si>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</si>
  <si>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</si>
  <si>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</si>
  <si>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</si>
  <si>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</si>
  <si>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</si>
  <si>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</si>
  <si>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</si>
  <si>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</si>
  <si>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</si>
  <si>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</si>
  <si>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</si>
  <si>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</si>
  <si>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</si>
  <si>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</si>
  <si>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</si>
  <si>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</si>
  <si>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</si>
  <si>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</si>
  <si>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</si>
  <si>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</si>
  <si>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</si>
  <si>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</si>
  <si>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</si>
  <si>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</si>
  <si>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</si>
  <si>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</si>
  <si>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</si>
  <si>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</si>
  <si>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</si>
  <si>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</si>
  <si>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</si>
  <si>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</si>
  <si>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</si>
  <si>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</si>
  <si>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</si>
  <si>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</si>
  <si>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</si>
  <si>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</si>
  <si>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</si>
  <si>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</si>
  <si>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</si>
  <si>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</si>
  <si>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</si>
  <si>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</si>
  <si>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</si>
  <si>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</si>
  <si>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</si>
  <si>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</si>
  <si>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</si>
  <si>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</si>
  <si>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</si>
  <si>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</si>
  <si>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</si>
  <si>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</si>
  <si>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</si>
  <si>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</si>
  <si>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</si>
  <si>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</si>
  <si>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</si>
  <si>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</si>
  <si>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</si>
  <si>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</si>
  <si>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</si>
  <si>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</si>
  <si>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</si>
  <si>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</si>
  <si>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</si>
  <si>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</si>
  <si>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</si>
  <si>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</si>
  <si>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</si>
  <si>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</si>
  <si>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</si>
  <si>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</si>
  <si>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</si>
  <si>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</si>
  <si>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</si>
  <si>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</si>
  <si>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</si>
  <si>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</si>
  <si>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</si>
  <si>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</si>
  <si>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Not Active</t>
  </si>
  <si>
    <t>Performance Score</t>
  </si>
  <si>
    <t>Row Labels</t>
  </si>
  <si>
    <t>Grand Total</t>
  </si>
  <si>
    <t xml:space="preserve"> Active </t>
  </si>
  <si>
    <t>Average of Salary</t>
  </si>
  <si>
    <t>Number of Employees</t>
  </si>
  <si>
    <t>Avg Training(Hours)</t>
  </si>
  <si>
    <t>Avg Performance Score</t>
  </si>
  <si>
    <t>Avg Onboarding(Days)</t>
  </si>
  <si>
    <t>% Active Employees</t>
  </si>
  <si>
    <t>Tenure(years)</t>
  </si>
  <si>
    <t>Onboarding(days)</t>
  </si>
  <si>
    <t>Correlation Value</t>
  </si>
  <si>
    <t>Stay_Flag</t>
  </si>
  <si>
    <t>Leave_flag</t>
  </si>
  <si>
    <t>Month_Year</t>
  </si>
  <si>
    <t xml:space="preserve">Churn 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</si>
  <si>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</si>
  <si>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</si>
  <si>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</si>
  <si>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</si>
  <si>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</si>
  <si>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</si>
  <si>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</si>
  <si>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</si>
  <si>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</si>
  <si>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</si>
  <si>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</si>
  <si>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</si>
  <si>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</si>
  <si>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</si>
  <si>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</si>
  <si>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</si>
  <si>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</si>
  <si>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</si>
  <si>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</si>
  <si>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</si>
  <si>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</si>
  <si>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</si>
  <si>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</si>
  <si>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</si>
  <si>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</si>
  <si>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</si>
  <si>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Total Count of Employees</t>
  </si>
  <si>
    <t>Sum of Employees Stayed</t>
  </si>
  <si>
    <t>Sum of Employees that Left</t>
  </si>
  <si>
    <t>Cybersecurity Engineer</t>
  </si>
  <si>
    <t>Top 3 Employees with Longest Tenure</t>
  </si>
  <si>
    <t>Avg Onboarding (Days)</t>
  </si>
  <si>
    <t>Skills in Common</t>
  </si>
  <si>
    <t>Cybersecurity</t>
  </si>
  <si>
    <t>Avg Salary</t>
  </si>
  <si>
    <t>Average Salary</t>
  </si>
  <si>
    <t>Number Active Employees</t>
  </si>
  <si>
    <t>Tenure = -1.14 + 0.000005*Salary + 0.016*Performance_Score</t>
  </si>
  <si>
    <t>2018</t>
  </si>
  <si>
    <t>2019</t>
  </si>
  <si>
    <t>2020</t>
  </si>
  <si>
    <t>2021</t>
  </si>
  <si>
    <t>2022</t>
  </si>
  <si>
    <t>2023</t>
  </si>
  <si>
    <t>Average of Performance_Score</t>
  </si>
  <si>
    <t>`</t>
  </si>
  <si>
    <t xml:space="preserve">correlation coefficient </t>
  </si>
  <si>
    <t>tenure</t>
  </si>
  <si>
    <t>salary</t>
  </si>
  <si>
    <t>performance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</si>
</sst>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"/>
    <numFmt numFmtId="165" formatCode="&quot;$&quot;#,##0.00"/>
    <numFmt numFmtId="166" formatCode="&quot;$&quot;#,##0"/>
  </numFmts>
  <fonts count="10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8"/>
      <name val="Aptos Narrow"/>
      <family val="2"/>
      <scheme val="minor"/>
    </font>
    <font>
      <sz val="12"/>
      <color rgb="FF000000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AFFE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DC7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39F974"/>
        <bgColor indexed="64"/>
      </patternFill>
    </fill>
    <fill>
      <patternFill patternType="solid">
        <fgColor theme="0"/>
        <bgColor theme="4" tint="0.79998168889431442"/>
      </patternFill>
    </fill>
  </fills>
  <borders count="8">
    <border>
      <left/>
      <right/>
      <top/>
      <bottom/>
      <diagonal/>
    </border>
    <border>
      <left style="thick">
        <color rgb="FFFFFF99"/>
      </left>
      <right style="thick">
        <color rgb="FFFFFF99"/>
      </right>
      <top style="thick">
        <color rgb="FFFFFF99"/>
      </top>
      <bottom style="thick">
        <color rgb="FFFFFF99"/>
      </bottom>
      <diagonal/>
    </border>
    <border>
      <left style="thick">
        <color rgb="FFFF66FF"/>
      </left>
      <right style="thick">
        <color rgb="FFFF66FF"/>
      </right>
      <top style="thick">
        <color rgb="FFFF66FF"/>
      </top>
      <bottom style="thick">
        <color rgb="FFFF66FF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theme="3"/>
      </left>
      <right style="thick">
        <color theme="3"/>
      </right>
      <top style="thick">
        <color theme="3"/>
      </top>
      <bottom style="thick">
        <color theme="3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Font="0"/>
    <xf numFmtId="0" fontId="4" fillId="0" borderId="7"/>
    <xf numFmtId="0" fontId="4" fillId="0" borderId="7"/>
    <xf numFmtId="0" fontId="4" fillId="0" borderId="7">
      <alignment horizontal="center"/>
    </xf>
  </cellStyleXfs>
  <cellXfs count="96">
    <xf numFmtId="0" fontId="0" fillId="0" borderId="0" xfId="0"/>
    <xf numFmtId="0" fontId="3" fillId="0" borderId="0" xfId="0" applyFont="1"/>
    <xf numFmtId="1" fontId="3" fillId="0" borderId="0" xfId="0" applyNumberFormat="1" applyFont="1"/>
    <xf numFmtId="0" fontId="4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3" fillId="0" borderId="0" xfId="0" applyNumberFormat="1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3" fillId="2" borderId="0" xfId="1" applyFont="1" applyAlignment="1">
      <alignment horizontal="center" vertical="center"/>
    </xf>
    <xf numFmtId="0" fontId="5" fillId="2" borderId="0" xfId="1" applyFont="1" applyAlignment="1">
      <alignment horizontal="center" vertical="center" wrapText="1"/>
    </xf>
    <xf numFmtId="0" fontId="3" fillId="6" borderId="2" xfId="0" applyFont="1" applyFill="1" applyBorder="1"/>
    <xf numFmtId="1" fontId="3" fillId="6" borderId="2" xfId="0" applyNumberFormat="1" applyFont="1" applyFill="1" applyBorder="1"/>
    <xf numFmtId="0" fontId="3" fillId="7" borderId="3" xfId="0" applyFont="1" applyFill="1" applyBorder="1"/>
    <xf numFmtId="1" fontId="3" fillId="7" borderId="3" xfId="0" applyNumberFormat="1" applyFont="1" applyFill="1" applyBorder="1"/>
    <xf numFmtId="3" fontId="0" fillId="0" borderId="0" xfId="0" applyNumberFormat="1" applyAlignment="1">
      <alignment vertical="center" wrapText="1"/>
    </xf>
    <xf numFmtId="3" fontId="7" fillId="0" borderId="0" xfId="0" applyNumberFormat="1" applyFont="1" applyAlignment="1">
      <alignment horizontal="right" vertical="center" wrapText="1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2" fontId="3" fillId="6" borderId="0" xfId="0" applyNumberFormat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0" applyNumberFormat="1" applyFont="1" applyFill="1" applyAlignment="1">
      <alignment horizontal="center" vertical="center"/>
    </xf>
    <xf numFmtId="10" fontId="0" fillId="0" borderId="0" xfId="0" applyNumberFormat="1"/>
    <xf numFmtId="0" fontId="5" fillId="4" borderId="0" xfId="0" applyFont="1" applyFill="1" applyAlignment="1">
      <alignment horizontal="center" vertical="center" wrapText="1"/>
    </xf>
    <xf numFmtId="0" fontId="3" fillId="0" borderId="0" xfId="0" pivotButton="1" applyFont="1"/>
    <xf numFmtId="164" fontId="3" fillId="0" borderId="0" xfId="0" applyNumberFormat="1" applyFont="1"/>
    <xf numFmtId="9" fontId="3" fillId="0" borderId="0" xfId="0" applyNumberFormat="1" applyFont="1"/>
    <xf numFmtId="0" fontId="4" fillId="0" borderId="0" xfId="0" applyFont="1" applyAlignment="1">
      <alignment horizontal="left"/>
    </xf>
    <xf numFmtId="0" fontId="4" fillId="8" borderId="4" xfId="0" applyFont="1" applyFill="1" applyBorder="1"/>
    <xf numFmtId="2" fontId="3" fillId="0" borderId="0" xfId="0" applyNumberFormat="1" applyFont="1"/>
    <xf numFmtId="166" fontId="3" fillId="5" borderId="0" xfId="0" applyNumberFormat="1" applyFont="1" applyFill="1" applyAlignment="1">
      <alignment horizontal="center" vertical="center" wrapText="1"/>
    </xf>
    <xf numFmtId="9" fontId="3" fillId="6" borderId="2" xfId="0" applyNumberFormat="1" applyFont="1" applyFill="1" applyBorder="1"/>
    <xf numFmtId="9" fontId="3" fillId="7" borderId="3" xfId="0" applyNumberFormat="1" applyFont="1" applyFill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3" fontId="7" fillId="6" borderId="2" xfId="0" applyNumberFormat="1" applyFont="1" applyFill="1" applyBorder="1" applyAlignment="1">
      <alignment horizontal="right" vertical="center" wrapText="1"/>
    </xf>
    <xf numFmtId="3" fontId="7" fillId="6" borderId="3" xfId="0" applyNumberFormat="1" applyFont="1" applyFill="1" applyBorder="1" applyAlignment="1">
      <alignment horizontal="right" vertical="center" wrapText="1"/>
    </xf>
    <xf numFmtId="3" fontId="7" fillId="5" borderId="3" xfId="0" applyNumberFormat="1" applyFont="1" applyFill="1" applyBorder="1" applyAlignment="1">
      <alignment horizontal="right" vertical="center" wrapText="1"/>
    </xf>
    <xf numFmtId="0" fontId="2" fillId="8" borderId="4" xfId="0" applyFont="1" applyFill="1" applyBorder="1"/>
    <xf numFmtId="3" fontId="0" fillId="0" borderId="0" xfId="0" applyNumberFormat="1"/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0" fontId="8" fillId="0" borderId="0" xfId="0" applyFont="1"/>
    <xf numFmtId="166" fontId="3" fillId="0" borderId="0" xfId="0" applyNumberFormat="1" applyFont="1"/>
    <xf numFmtId="14" fontId="3" fillId="6" borderId="2" xfId="0" applyNumberFormat="1" applyFont="1" applyFill="1" applyBorder="1" applyAlignment="1">
      <alignment horizontal="center" vertical="center" wrapText="1"/>
    </xf>
    <xf numFmtId="2" fontId="3" fillId="6" borderId="2" xfId="0" applyNumberFormat="1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166" fontId="3" fillId="5" borderId="2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 wrapText="1"/>
    </xf>
    <xf numFmtId="2" fontId="3" fillId="7" borderId="3" xfId="0" applyNumberFormat="1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165" fontId="3" fillId="5" borderId="2" xfId="0" applyNumberFormat="1" applyFont="1" applyFill="1" applyBorder="1" applyAlignment="1">
      <alignment horizontal="center" vertical="center" wrapText="1"/>
    </xf>
    <xf numFmtId="165" fontId="7" fillId="5" borderId="3" xfId="0" applyNumberFormat="1" applyFont="1" applyFill="1" applyBorder="1" applyAlignment="1">
      <alignment horizontal="right" vertical="center" wrapText="1"/>
    </xf>
    <xf numFmtId="165" fontId="7" fillId="6" borderId="2" xfId="0" applyNumberFormat="1" applyFont="1" applyFill="1" applyBorder="1" applyAlignment="1">
      <alignment horizontal="right" vertical="center" wrapText="1"/>
    </xf>
    <xf numFmtId="0" fontId="4" fillId="4" borderId="1" xfId="0" applyFont="1" applyFill="1" applyBorder="1"/>
    <xf numFmtId="0" fontId="4" fillId="6" borderId="2" xfId="0" applyFont="1" applyFill="1" applyBorder="1"/>
    <xf numFmtId="0" fontId="4" fillId="7" borderId="3" xfId="0" applyFont="1" applyFill="1" applyBorder="1"/>
    <xf numFmtId="1" fontId="3" fillId="6" borderId="2" xfId="0" applyNumberFormat="1" applyFont="1" applyFill="1" applyBorder="1" applyAlignment="1">
      <alignment horizontal="left"/>
    </xf>
    <xf numFmtId="1" fontId="3" fillId="7" borderId="3" xfId="0" applyNumberFormat="1" applyFont="1" applyFill="1" applyBorder="1" applyAlignment="1">
      <alignment horizontal="left"/>
    </xf>
    <xf numFmtId="166" fontId="3" fillId="6" borderId="2" xfId="0" applyNumberFormat="1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3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2" fillId="10" borderId="4" xfId="0" applyFont="1" applyFill="1" applyBorder="1"/>
    <xf numFmtId="0" fontId="3" fillId="0" borderId="0" xfId="0" applyFont="1" applyAlignment="1">
      <alignment horizontal="center"/>
    </xf>
    <xf numFmtId="3" fontId="7" fillId="5" borderId="0" xfId="0" applyNumberFormat="1" applyFont="1" applyFill="1" applyAlignment="1">
      <alignment horizontal="center" vertical="center" wrapText="1"/>
    </xf>
    <xf numFmtId="0" fontId="9" fillId="0" borderId="6" xfId="0" applyFont="1" applyBorder="1" applyAlignment="1">
      <alignment horizontal="centerContinuous"/>
    </xf>
    <xf numFmtId="0" fontId="8" fillId="0" borderId="5" xfId="0" applyFont="1" applyBorder="1"/>
    <xf numFmtId="0" fontId="9" fillId="0" borderId="6" xfId="0" applyFont="1" applyBorder="1" applyAlignment="1">
      <alignment horizontal="center"/>
    </xf>
    <xf numFmtId="3" fontId="3" fillId="5" borderId="2" xfId="0" applyNumberFormat="1" applyFont="1" applyFill="1" applyBorder="1" applyAlignment="1">
      <alignment horizontal="center" vertical="center" wrapText="1"/>
    </xf>
    <xf numFmtId="3" fontId="7" fillId="5" borderId="2" xfId="0" applyNumberFormat="1" applyFont="1" applyFill="1" applyBorder="1" applyAlignment="1">
      <alignment horizontal="center" vertical="center" wrapText="1"/>
    </xf>
    <xf numFmtId="3" fontId="7" fillId="5" borderId="3" xfId="0" applyNumberFormat="1" applyFont="1" applyFill="1" applyBorder="1" applyAlignment="1">
      <alignment horizontal="center" vertical="center" wrapText="1"/>
    </xf>
    <xf numFmtId="3" fontId="7" fillId="6" borderId="2" xfId="0" applyNumberFormat="1" applyFont="1" applyFill="1" applyBorder="1" applyAlignment="1">
      <alignment horizontal="center" vertical="center" wrapText="1"/>
    </xf>
    <xf numFmtId="3" fontId="7" fillId="6" borderId="3" xfId="0" applyNumberFormat="1" applyFont="1" applyFill="1" applyBorder="1" applyAlignment="1">
      <alignment horizontal="center" vertical="center" wrapText="1"/>
    </xf>
    <xf numFmtId="2" fontId="8" fillId="0" borderId="0" xfId="0" applyNumberFormat="1" applyFont="1"/>
    <xf numFmtId="166" fontId="7" fillId="5" borderId="0" xfId="0" applyNumberFormat="1" applyFont="1" applyFill="1" applyAlignment="1">
      <alignment horizontal="center" vertical="center" wrapText="1"/>
    </xf>
    <xf numFmtId="166" fontId="7" fillId="6" borderId="0" xfId="0" applyNumberFormat="1" applyFont="1" applyFill="1" applyAlignment="1">
      <alignment horizontal="center" vertical="center" wrapText="1"/>
    </xf>
    <xf numFmtId="166" fontId="7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5" fillId="0" borderId="0" xfId="0" applyFont="1"/>
  </cellXfs>
  <cellStyles count="6">
    <cellStyle name="Good" xfId="1" builtinId="26"/>
    <cellStyle name="Normal" xfId="0" builtinId="0"/>
    <cellStyle name="Style 1" xfId="2" xr:uid="{81D8B86F-BB8E-4280-9511-5DD776798852}"/>
    <cellStyle name="Style 2" xfId="3" xr:uid="{8B30DC5B-7777-440F-B4BB-F94818310DE9}"/>
    <cellStyle name="Style 3" xfId="4" xr:uid="{07BC0635-4CEE-4ED0-B5F3-1B90E8A751F7}"/>
    <cellStyle name="Style 4" xfId="5" xr:uid="{345E042D-8A34-4B54-95F4-8EA3830D7244}"/>
  </cellStyles>
  <dxfs count="169"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numFmt numFmtId="166" formatCode="&quot;$&quot;#,##0"/>
    </dxf>
    <dxf>
      <font>
        <b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font>
        <name val="Times New Roman"/>
        <family val="1"/>
        <scheme val="none"/>
      </font>
    </dxf>
    <dxf>
      <numFmt numFmtId="164" formatCode="0.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166" formatCode="&quot;$&quot;#,##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m/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m/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m/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7" tint="0.79998168889431442"/>
        </patternFill>
      </fill>
      <border>
        <left style="thick">
          <color theme="7" tint="0.39994506668294322"/>
        </left>
        <right style="thick">
          <color theme="7" tint="0.39994506668294322"/>
        </right>
        <top style="thick">
          <color theme="7" tint="0.39994506668294322"/>
        </top>
        <bottom style="thick">
          <color theme="7" tint="0.39994506668294322"/>
        </bottom>
        <vertical style="thick">
          <color theme="7" tint="0.39994506668294322"/>
        </vertical>
        <horizontal style="thick">
          <color theme="7" tint="0.39994506668294322"/>
        </horizontal>
      </border>
    </dxf>
    <dxf>
      <fill>
        <patternFill>
          <bgColor rgb="FFFDC7FA"/>
        </patternFill>
      </fill>
      <border>
        <left style="thick">
          <color rgb="FFFF66FF"/>
        </left>
        <right style="thick">
          <color rgb="FFFF66FF"/>
        </right>
        <top style="thick">
          <color rgb="FFFF66FF"/>
        </top>
        <bottom style="thick">
          <color rgb="FFFF66FF"/>
        </bottom>
        <vertical style="thick">
          <color rgb="FFFF66FF"/>
        </vertical>
        <horizontal style="thick">
          <color rgb="FFFF66FF"/>
        </horizontal>
      </border>
    </dxf>
    <dxf>
      <fill>
        <patternFill>
          <bgColor rgb="FFFAFFE1"/>
        </patternFill>
      </fill>
      <border>
        <left style="thick">
          <color rgb="FFFFFF99"/>
        </left>
        <right style="thick">
          <color rgb="FFFFFF99"/>
        </right>
        <top style="thick">
          <color rgb="FFFFFF99"/>
        </top>
        <bottom style="thick">
          <color rgb="FFFFFF99"/>
        </bottom>
        <vertical style="thick">
          <color rgb="FFFFFF99"/>
        </vertical>
        <horizontal style="thick">
          <color rgb="FFFFFF99"/>
        </horizontal>
      </border>
    </dxf>
  </dxfs>
  <tableStyles count="1" defaultTableStyle="TableStyleMedium2" defaultPivotStyle="PivotStyleLight16">
    <tableStyle name="Table Style 1" pivot="0" count="3" xr9:uid="{450D2942-00D1-477E-87B2-738D0DAFD72B}">
      <tableStyleElement type="headerRow" dxfId="168"/>
      <tableStyleElement type="firstRowStripe" dxfId="167"/>
      <tableStyleElement type="secondRowStripe" dxfId="166"/>
    </tableStyle>
  </tableStyles>
  <colors>
    <mruColors>
      <color rgb="FFFDC7FA"/>
      <color rgb="FF940412"/>
      <color rgb="FF403CE0"/>
      <color rgb="FF39F974"/>
      <color rgb="FF21EF66"/>
      <color rgb="FF9B88F8"/>
      <color rgb="FFE93FCD"/>
      <color rgb="FF66FF66"/>
      <color rgb="FF00FF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Tenure</a:t>
            </a:r>
            <a:r>
              <a:rPr lang="en-US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(Years) v Performance Score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'Main Table'!$Q$1</c:f>
              <c:strCache>
                <c:ptCount val="1"/>
                <c:pt idx="0">
                  <c:v>Satisfaction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multiLvlStrRef>
              <c:f>'Main Table'!$A$2:$L$46</c:f>
              <c:multiLvlStrCache>
                <c:ptCount val="44"/>
                <c:lvl>
                  <c:pt idx="0">
                    <c:v>No</c:v>
                  </c:pt>
                  <c:pt idx="1">
                    <c:v>No</c:v>
                  </c:pt>
                  <c:pt idx="2">
                    <c:v>No</c:v>
                  </c:pt>
                  <c:pt idx="3">
                    <c:v>No</c:v>
                  </c:pt>
                  <c:pt idx="4">
                    <c:v>No</c:v>
                  </c:pt>
                  <c:pt idx="5">
                    <c:v>No</c:v>
                  </c:pt>
                  <c:pt idx="6">
                    <c:v>No</c:v>
                  </c:pt>
                  <c:pt idx="7">
                    <c:v>No</c:v>
                  </c:pt>
                  <c:pt idx="8">
                    <c:v>No</c:v>
                  </c:pt>
                  <c:pt idx="9">
                    <c:v>No</c:v>
                  </c:pt>
                  <c:pt idx="10">
                    <c:v>No</c:v>
                  </c:pt>
                  <c:pt idx="11">
                    <c:v>No</c:v>
                  </c:pt>
                  <c:pt idx="12">
                    <c:v>No</c:v>
                  </c:pt>
                  <c:pt idx="13">
                    <c:v>No</c:v>
                  </c:pt>
                  <c:pt idx="14">
                    <c:v>No</c:v>
                  </c:pt>
                  <c:pt idx="15">
                    <c:v>No</c:v>
                  </c:pt>
                  <c:pt idx="16">
                    <c:v>No</c:v>
                  </c:pt>
                  <c:pt idx="17">
                    <c:v>Yes</c:v>
                  </c:pt>
                  <c:pt idx="18">
                    <c:v>No</c:v>
                  </c:pt>
                  <c:pt idx="19">
                    <c:v>Yes</c:v>
                  </c:pt>
                  <c:pt idx="20">
                    <c:v>No</c:v>
                  </c:pt>
                  <c:pt idx="21">
                    <c:v>Yes</c:v>
                  </c:pt>
                  <c:pt idx="22">
                    <c:v>No</c:v>
                  </c:pt>
                  <c:pt idx="23">
                    <c:v>Yes</c:v>
                  </c:pt>
                  <c:pt idx="24">
                    <c:v>No</c:v>
                  </c:pt>
                  <c:pt idx="25">
                    <c:v>No</c:v>
                  </c:pt>
                  <c:pt idx="26">
                    <c:v>Yes</c:v>
                  </c:pt>
                  <c:pt idx="27">
                    <c:v>No</c:v>
                  </c:pt>
                  <c:pt idx="28">
                    <c:v>No</c:v>
                  </c:pt>
                  <c:pt idx="29">
                    <c:v>No</c:v>
                  </c:pt>
                  <c:pt idx="30">
                    <c:v>No</c:v>
                  </c:pt>
                  <c:pt idx="31">
                    <c:v>No</c:v>
                  </c:pt>
                  <c:pt idx="32">
                    <c:v>No</c:v>
                  </c:pt>
                  <c:pt idx="33">
                    <c:v>No</c:v>
                  </c:pt>
                  <c:pt idx="34">
                    <c:v>No</c:v>
                  </c:pt>
                  <c:pt idx="35">
                    <c:v>No</c:v>
                  </c:pt>
                  <c:pt idx="36">
                    <c:v>No</c:v>
                  </c:pt>
                  <c:pt idx="37">
                    <c:v>No</c:v>
                  </c:pt>
                  <c:pt idx="38">
                    <c:v>No</c:v>
                  </c:pt>
                  <c:pt idx="39">
                    <c:v>No</c:v>
                  </c:pt>
                  <c:pt idx="40">
                    <c:v>No</c:v>
                  </c:pt>
                  <c:pt idx="41">
                    <c:v>No</c:v>
                  </c:pt>
                  <c:pt idx="42">
                    <c:v>No</c:v>
                  </c:pt>
                  <c:pt idx="43">
                    <c:v>No</c:v>
                  </c:pt>
                </c:lvl>
                <c:lvl>
                  <c:pt idx="0">
                    <c:v>6.81</c:v>
                  </c:pt>
                  <c:pt idx="1">
                    <c:v>6.30</c:v>
                  </c:pt>
                  <c:pt idx="2">
                    <c:v>6.18</c:v>
                  </c:pt>
                  <c:pt idx="3">
                    <c:v>6.11</c:v>
                  </c:pt>
                  <c:pt idx="4">
                    <c:v>5.87</c:v>
                  </c:pt>
                  <c:pt idx="5">
                    <c:v>5.82</c:v>
                  </c:pt>
                  <c:pt idx="6">
                    <c:v>5.48</c:v>
                  </c:pt>
                  <c:pt idx="7">
                    <c:v>5.42</c:v>
                  </c:pt>
                  <c:pt idx="8">
                    <c:v>5.32</c:v>
                  </c:pt>
                  <c:pt idx="9">
                    <c:v>5.27</c:v>
                  </c:pt>
                  <c:pt idx="10">
                    <c:v>4.98</c:v>
                  </c:pt>
                  <c:pt idx="11">
                    <c:v>4.88</c:v>
                  </c:pt>
                  <c:pt idx="12">
                    <c:v>4.81</c:v>
                  </c:pt>
                  <c:pt idx="13">
                    <c:v>4.67</c:v>
                  </c:pt>
                  <c:pt idx="14">
                    <c:v>4.53</c:v>
                  </c:pt>
                  <c:pt idx="15">
                    <c:v>4.31</c:v>
                  </c:pt>
                  <c:pt idx="16">
                    <c:v>4.30</c:v>
                  </c:pt>
                  <c:pt idx="17">
                    <c:v>4.22</c:v>
                  </c:pt>
                  <c:pt idx="18">
                    <c:v>4.05</c:v>
                  </c:pt>
                  <c:pt idx="19">
                    <c:v>3.95</c:v>
                  </c:pt>
                  <c:pt idx="20">
                    <c:v>3.93</c:v>
                  </c:pt>
                  <c:pt idx="21">
                    <c:v>3.85</c:v>
                  </c:pt>
                  <c:pt idx="22">
                    <c:v>3.84</c:v>
                  </c:pt>
                  <c:pt idx="23">
                    <c:v>3.70</c:v>
                  </c:pt>
                  <c:pt idx="24">
                    <c:v>3.52</c:v>
                  </c:pt>
                  <c:pt idx="25">
                    <c:v>3.35</c:v>
                  </c:pt>
                  <c:pt idx="26">
                    <c:v>3.32</c:v>
                  </c:pt>
                  <c:pt idx="27">
                    <c:v>3.17</c:v>
                  </c:pt>
                  <c:pt idx="28">
                    <c:v>3.05</c:v>
                  </c:pt>
                  <c:pt idx="29">
                    <c:v>2.92</c:v>
                  </c:pt>
                  <c:pt idx="30">
                    <c:v>2.88</c:v>
                  </c:pt>
                  <c:pt idx="31">
                    <c:v>2.69</c:v>
                  </c:pt>
                  <c:pt idx="32">
                    <c:v>2.42</c:v>
                  </c:pt>
                  <c:pt idx="33">
                    <c:v>2.22</c:v>
                  </c:pt>
                  <c:pt idx="34">
                    <c:v>2.19</c:v>
                  </c:pt>
                  <c:pt idx="35">
                    <c:v>2.06</c:v>
                  </c:pt>
                  <c:pt idx="36">
                    <c:v>1.85</c:v>
                  </c:pt>
                  <c:pt idx="37">
                    <c:v>1.76</c:v>
                  </c:pt>
                  <c:pt idx="38">
                    <c:v>1.75</c:v>
                  </c:pt>
                  <c:pt idx="39">
                    <c:v>1.58</c:v>
                  </c:pt>
                  <c:pt idx="40">
                    <c:v>1.56</c:v>
                  </c:pt>
                  <c:pt idx="41">
                    <c:v>0.79</c:v>
                  </c:pt>
                  <c:pt idx="42">
                    <c:v>0.66</c:v>
                  </c:pt>
                  <c:pt idx="43">
                    <c:v>0.32</c:v>
                  </c:pt>
                </c:lvl>
                <c:lvl>
                  <c:pt idx="0">
                    <c:v>6 years 9 months</c:v>
                  </c:pt>
                  <c:pt idx="1">
                    <c:v>6 years 3 months</c:v>
                  </c:pt>
                  <c:pt idx="2">
                    <c:v>6 years 2 months</c:v>
                  </c:pt>
                  <c:pt idx="3">
                    <c:v>6 years 1 months</c:v>
                  </c:pt>
                  <c:pt idx="4">
                    <c:v>5 years 10 months</c:v>
                  </c:pt>
                  <c:pt idx="5">
                    <c:v>5 years 9 months</c:v>
                  </c:pt>
                  <c:pt idx="6">
                    <c:v>5 years 5 months</c:v>
                  </c:pt>
                  <c:pt idx="7">
                    <c:v>5 years 5 months</c:v>
                  </c:pt>
                  <c:pt idx="8">
                    <c:v>5 years 3 months</c:v>
                  </c:pt>
                  <c:pt idx="9">
                    <c:v>5 years 3 months</c:v>
                  </c:pt>
                  <c:pt idx="10">
                    <c:v>4 years 11 months</c:v>
                  </c:pt>
                  <c:pt idx="11">
                    <c:v>4 years 10 months</c:v>
                  </c:pt>
                  <c:pt idx="12">
                    <c:v>4 years 9 months</c:v>
                  </c:pt>
                  <c:pt idx="13">
                    <c:v>4 years 8 months</c:v>
                  </c:pt>
                  <c:pt idx="14">
                    <c:v>4 years 6 months</c:v>
                  </c:pt>
                  <c:pt idx="15">
                    <c:v>4 years 3 months</c:v>
                  </c:pt>
                  <c:pt idx="16">
                    <c:v>4 years 3 months</c:v>
                  </c:pt>
                  <c:pt idx="17">
                    <c:v>4 years 2 months</c:v>
                  </c:pt>
                  <c:pt idx="18">
                    <c:v>4 years </c:v>
                  </c:pt>
                  <c:pt idx="19">
                    <c:v>3 years 11 months</c:v>
                  </c:pt>
                  <c:pt idx="20">
                    <c:v>3 years 11 months</c:v>
                  </c:pt>
                  <c:pt idx="21">
                    <c:v>3 years 10 months</c:v>
                  </c:pt>
                  <c:pt idx="22">
                    <c:v>3 years 10 months</c:v>
                  </c:pt>
                  <c:pt idx="23">
                    <c:v>3 years 8 months</c:v>
                  </c:pt>
                  <c:pt idx="24">
                    <c:v>3 years 6 months</c:v>
                  </c:pt>
                  <c:pt idx="25">
                    <c:v>3 years 4 months</c:v>
                  </c:pt>
                  <c:pt idx="26">
                    <c:v>3 years 3 months</c:v>
                  </c:pt>
                  <c:pt idx="27">
                    <c:v>3 years 2 months</c:v>
                  </c:pt>
                  <c:pt idx="28">
                    <c:v>3 years </c:v>
                  </c:pt>
                  <c:pt idx="29">
                    <c:v>2 years 11 months</c:v>
                  </c:pt>
                  <c:pt idx="30">
                    <c:v>2 years 10 months</c:v>
                  </c:pt>
                  <c:pt idx="31">
                    <c:v>2 years 8 months</c:v>
                  </c:pt>
                  <c:pt idx="32">
                    <c:v>2 years 5 months</c:v>
                  </c:pt>
                  <c:pt idx="33">
                    <c:v>2 years 2 months</c:v>
                  </c:pt>
                  <c:pt idx="34">
                    <c:v>2 years 2 months</c:v>
                  </c:pt>
                  <c:pt idx="35">
                    <c:v>2 years </c:v>
                  </c:pt>
                  <c:pt idx="36">
                    <c:v>1 years 10 months</c:v>
                  </c:pt>
                  <c:pt idx="37">
                    <c:v>1 years 9 months</c:v>
                  </c:pt>
                  <c:pt idx="38">
                    <c:v>1 years 9 months</c:v>
                  </c:pt>
                  <c:pt idx="39">
                    <c:v>1 years 7 months</c:v>
                  </c:pt>
                  <c:pt idx="40">
                    <c:v>1 years 6 months</c:v>
                  </c:pt>
                  <c:pt idx="41">
                    <c:v>9 months</c:v>
                  </c:pt>
                  <c:pt idx="42">
                    <c:v>7 months</c:v>
                  </c:pt>
                  <c:pt idx="43">
                    <c:v>3 months</c:v>
                  </c:pt>
                </c:lvl>
                <c:lvl>
                  <c:pt idx="2">
                    <c:v>8/20/2024</c:v>
                  </c:pt>
                  <c:pt idx="6">
                    <c:v>5/25/2024</c:v>
                  </c:pt>
                  <c:pt idx="8">
                    <c:v>6/30/2023</c:v>
                  </c:pt>
                  <c:pt idx="9">
                    <c:v>6/15/2024</c:v>
                  </c:pt>
                  <c:pt idx="14">
                    <c:v>8/30/2024</c:v>
                  </c:pt>
                  <c:pt idx="16">
                    <c:v>9/5/2023</c:v>
                  </c:pt>
                  <c:pt idx="17">
                    <c:v>11/22/2023</c:v>
                  </c:pt>
                  <c:pt idx="20">
                    <c:v>9/10/2022</c:v>
                  </c:pt>
                  <c:pt idx="21">
                    <c:v>12/10/2022</c:v>
                  </c:pt>
                  <c:pt idx="22">
                    <c:v>6/12/2024</c:v>
                  </c:pt>
                  <c:pt idx="24">
                    <c:v>9/18/2024</c:v>
                  </c:pt>
                  <c:pt idx="25">
                    <c:v>12/12/2022</c:v>
                  </c:pt>
                  <c:pt idx="26">
                    <c:v>12/30/2024</c:v>
                  </c:pt>
                  <c:pt idx="27">
                    <c:v>8/18/2024</c:v>
                  </c:pt>
                  <c:pt idx="28">
                    <c:v>7/25/2023</c:v>
                  </c:pt>
                  <c:pt idx="29">
                    <c:v>9/20/2023</c:v>
                  </c:pt>
                  <c:pt idx="30">
                    <c:v>10/1/2022</c:v>
                  </c:pt>
                  <c:pt idx="31">
                    <c:v>8/15/2024</c:v>
                  </c:pt>
                  <c:pt idx="32">
                    <c:v>10/5/2023</c:v>
                  </c:pt>
                  <c:pt idx="33">
                    <c:v>11/25/2022</c:v>
                  </c:pt>
                  <c:pt idx="34">
                    <c:v>6/25/2024</c:v>
                  </c:pt>
                  <c:pt idx="35">
                    <c:v>5/18/2022</c:v>
                  </c:pt>
                  <c:pt idx="36">
                    <c:v>2/25/2021</c:v>
                  </c:pt>
                  <c:pt idx="37">
                    <c:v>12/22/2021</c:v>
                  </c:pt>
                  <c:pt idx="38">
                    <c:v>12/10/2023</c:v>
                  </c:pt>
                  <c:pt idx="39">
                    <c:v>5/10/2021</c:v>
                  </c:pt>
                  <c:pt idx="40">
                    <c:v>11/10/2022</c:v>
                  </c:pt>
                  <c:pt idx="41">
                    <c:v>5/30/2022</c:v>
                  </c:pt>
                  <c:pt idx="42">
                    <c:v>9/12/2022</c:v>
                  </c:pt>
                  <c:pt idx="43">
                    <c:v>10/10/2020</c:v>
                  </c:pt>
                </c:lvl>
                <c:lvl>
                  <c:pt idx="0">
                    <c:v>1/10/2019</c:v>
                  </c:pt>
                  <c:pt idx="1">
                    <c:v>7/14/2019</c:v>
                  </c:pt>
                  <c:pt idx="2">
                    <c:v>6/18/2018</c:v>
                  </c:pt>
                  <c:pt idx="3">
                    <c:v>9/22/2019</c:v>
                  </c:pt>
                  <c:pt idx="4">
                    <c:v>12/20/2019</c:v>
                  </c:pt>
                  <c:pt idx="5">
                    <c:v>1/5/2020</c:v>
                  </c:pt>
                  <c:pt idx="6">
                    <c:v>12/1/2018</c:v>
                  </c:pt>
                  <c:pt idx="7">
                    <c:v>5/30/2020</c:v>
                  </c:pt>
                  <c:pt idx="8">
                    <c:v>3/5/2018</c:v>
                  </c:pt>
                  <c:pt idx="9">
                    <c:v>3/12/2019</c:v>
                  </c:pt>
                  <c:pt idx="10">
                    <c:v>11/10/2020</c:v>
                  </c:pt>
                  <c:pt idx="11">
                    <c:v>12/15/2020</c:v>
                  </c:pt>
                  <c:pt idx="12">
                    <c:v>1/10/2021</c:v>
                  </c:pt>
                  <c:pt idx="13">
                    <c:v>2/28/2021</c:v>
                  </c:pt>
                  <c:pt idx="14">
                    <c:v>2/20/2020</c:v>
                  </c:pt>
                  <c:pt idx="15">
                    <c:v>7/10/2021</c:v>
                  </c:pt>
                  <c:pt idx="16">
                    <c:v>5/18/2019</c:v>
                  </c:pt>
                  <c:pt idx="17">
                    <c:v>9/2/2019</c:v>
                  </c:pt>
                  <c:pt idx="18">
                    <c:v>10/12/2021</c:v>
                  </c:pt>
                  <c:pt idx="19">
                    <c:v>11/18/2021</c:v>
                  </c:pt>
                  <c:pt idx="20">
                    <c:v>10/5/2018</c:v>
                  </c:pt>
                  <c:pt idx="21">
                    <c:v>2/5/2019</c:v>
                  </c:pt>
                  <c:pt idx="22">
                    <c:v>8/12/2020</c:v>
                  </c:pt>
                  <c:pt idx="23">
                    <c:v>2/20/2022</c:v>
                  </c:pt>
                  <c:pt idx="24">
                    <c:v>3/12/2021</c:v>
                  </c:pt>
                  <c:pt idx="25">
                    <c:v>8/8/2019</c:v>
                  </c:pt>
                  <c:pt idx="26">
                    <c:v>9/5/2021</c:v>
                  </c:pt>
                  <c:pt idx="27">
                    <c:v>6/18/2021</c:v>
                  </c:pt>
                  <c:pt idx="28">
                    <c:v>7/8/2020</c:v>
                  </c:pt>
                  <c:pt idx="29">
                    <c:v>10/20/2020</c:v>
                  </c:pt>
                  <c:pt idx="30">
                    <c:v>11/15/2019</c:v>
                  </c:pt>
                  <c:pt idx="31">
                    <c:v>12/8/2021</c:v>
                  </c:pt>
                  <c:pt idx="32">
                    <c:v>5/5/2021</c:v>
                  </c:pt>
                  <c:pt idx="33">
                    <c:v>9/5/2020</c:v>
                  </c:pt>
                  <c:pt idx="34">
                    <c:v>4/18/2022</c:v>
                  </c:pt>
                  <c:pt idx="35">
                    <c:v>4/25/2020</c:v>
                  </c:pt>
                  <c:pt idx="36">
                    <c:v>4/22/2019</c:v>
                  </c:pt>
                  <c:pt idx="37">
                    <c:v>3/18/2020</c:v>
                  </c:pt>
                  <c:pt idx="38">
                    <c:v>3/10/2022</c:v>
                  </c:pt>
                  <c:pt idx="39">
                    <c:v>10/10/2019</c:v>
                  </c:pt>
                  <c:pt idx="40">
                    <c:v>4/20/2021</c:v>
                  </c:pt>
                  <c:pt idx="41">
                    <c:v>8/15/2021</c:v>
                  </c:pt>
                  <c:pt idx="42">
                    <c:v>1/15/2022</c:v>
                  </c:pt>
                  <c:pt idx="43">
                    <c:v>6/14/2020</c:v>
                  </c:pt>
                </c:lvl>
                <c:lvl>
                  <c:pt idx="0">
                    <c:v>60</c:v>
                  </c:pt>
                  <c:pt idx="1">
                    <c:v>40</c:v>
                  </c:pt>
                  <c:pt idx="2">
                    <c:v>30</c:v>
                  </c:pt>
                  <c:pt idx="3">
                    <c:v>25</c:v>
                  </c:pt>
                  <c:pt idx="4">
                    <c:v>60</c:v>
                  </c:pt>
                  <c:pt idx="5">
                    <c:v>33</c:v>
                  </c:pt>
                  <c:pt idx="6">
                    <c:v>15</c:v>
                  </c:pt>
                  <c:pt idx="7">
                    <c:v>35</c:v>
                  </c:pt>
                  <c:pt idx="8">
                    <c:v>45</c:v>
                  </c:pt>
                  <c:pt idx="9">
                    <c:v>55</c:v>
                  </c:pt>
                  <c:pt idx="10">
                    <c:v>62</c:v>
                  </c:pt>
                  <c:pt idx="11">
                    <c:v>22</c:v>
                  </c:pt>
                  <c:pt idx="12">
                    <c:v>36</c:v>
                  </c:pt>
                  <c:pt idx="13">
                    <c:v>50</c:v>
                  </c:pt>
                  <c:pt idx="14">
                    <c:v>38</c:v>
                  </c:pt>
                  <c:pt idx="15">
                    <c:v>18</c:v>
                  </c:pt>
                  <c:pt idx="16">
                    <c:v>25</c:v>
                  </c:pt>
                  <c:pt idx="17">
                    <c:v>50</c:v>
                  </c:pt>
                  <c:pt idx="18">
                    <c:v>22</c:v>
                  </c:pt>
                  <c:pt idx="19">
                    <c:v>30</c:v>
                  </c:pt>
                  <c:pt idx="20">
                    <c:v>40</c:v>
                  </c:pt>
                  <c:pt idx="21">
                    <c:v>28</c:v>
                  </c:pt>
                  <c:pt idx="22">
                    <c:v>30</c:v>
                  </c:pt>
                  <c:pt idx="23">
                    <c:v>15</c:v>
                  </c:pt>
                  <c:pt idx="24">
                    <c:v>35</c:v>
                  </c:pt>
                  <c:pt idx="25">
                    <c:v>32</c:v>
                  </c:pt>
                  <c:pt idx="26">
                    <c:v>55</c:v>
                  </c:pt>
                  <c:pt idx="27">
                    <c:v>58</c:v>
                  </c:pt>
                  <c:pt idx="28">
                    <c:v>45</c:v>
                  </c:pt>
                  <c:pt idx="29">
                    <c:v>20</c:v>
                  </c:pt>
                  <c:pt idx="30">
                    <c:v>45</c:v>
                  </c:pt>
                  <c:pt idx="31">
                    <c:v>32</c:v>
                  </c:pt>
                  <c:pt idx="32">
                    <c:v>40</c:v>
                  </c:pt>
                  <c:pt idx="33">
                    <c:v>55</c:v>
                  </c:pt>
                  <c:pt idx="34">
                    <c:v>35</c:v>
                  </c:pt>
                  <c:pt idx="35">
                    <c:v>16</c:v>
                  </c:pt>
                  <c:pt idx="36">
                    <c:v>35</c:v>
                  </c:pt>
                  <c:pt idx="37">
                    <c:v>50</c:v>
                  </c:pt>
                  <c:pt idx="38">
                    <c:v>40</c:v>
                  </c:pt>
                  <c:pt idx="39">
                    <c:v>18</c:v>
                  </c:pt>
                  <c:pt idx="40">
                    <c:v>25</c:v>
                  </c:pt>
                  <c:pt idx="41">
                    <c:v>42</c:v>
                  </c:pt>
                  <c:pt idx="42">
                    <c:v>45</c:v>
                  </c:pt>
                  <c:pt idx="43">
                    <c:v>25</c:v>
                  </c:pt>
                </c:lvl>
                <c:lvl>
                  <c:pt idx="0">
                    <c:v>7/10/2018</c:v>
                  </c:pt>
                  <c:pt idx="1">
                    <c:v>4/30/2019</c:v>
                  </c:pt>
                  <c:pt idx="2">
                    <c:v>2/4/2018</c:v>
                  </c:pt>
                  <c:pt idx="3">
                    <c:v>4/19/2018</c:v>
                  </c:pt>
                  <c:pt idx="4">
                    <c:v>1/9/2020</c:v>
                  </c:pt>
                  <c:pt idx="5">
                    <c:v>3/12/2020</c:v>
                  </c:pt>
                  <c:pt idx="6">
                    <c:v>5/23/2018</c:v>
                  </c:pt>
                  <c:pt idx="7">
                    <c:v>9/30/2020</c:v>
                  </c:pt>
                  <c:pt idx="8">
                    <c:v>1/1/2018</c:v>
                  </c:pt>
                  <c:pt idx="9">
                    <c:v>11/2/2018</c:v>
                  </c:pt>
                  <c:pt idx="10">
                    <c:v>7/29/2021</c:v>
                  </c:pt>
                  <c:pt idx="11">
                    <c:v>9/9/2021</c:v>
                  </c:pt>
                  <c:pt idx="12">
                    <c:v>10/28/2021</c:v>
                  </c:pt>
                  <c:pt idx="13">
                    <c:v>12/10/2021</c:v>
                  </c:pt>
                  <c:pt idx="14">
                    <c:v>4/28/2020</c:v>
                  </c:pt>
                  <c:pt idx="15">
                    <c:v>7/20/2022</c:v>
                  </c:pt>
                  <c:pt idx="16">
                    <c:v>1/15/2019</c:v>
                  </c:pt>
                  <c:pt idx="17">
                    <c:v>8/5/2019</c:v>
                  </c:pt>
                  <c:pt idx="18">
                    <c:v>12/7/2022</c:v>
                  </c:pt>
                  <c:pt idx="19">
                    <c:v>1/13/2023</c:v>
                  </c:pt>
                  <c:pt idx="20">
                    <c:v>4/5/2018</c:v>
                  </c:pt>
                  <c:pt idx="21">
                    <c:v>9/14/2018</c:v>
                  </c:pt>
                  <c:pt idx="22">
                    <c:v>2/26/2021</c:v>
                  </c:pt>
                  <c:pt idx="23">
                    <c:v>6/9/2023</c:v>
                  </c:pt>
                  <c:pt idx="24">
                    <c:v>1/25/2022</c:v>
                  </c:pt>
                  <c:pt idx="25">
                    <c:v>6/21/2019</c:v>
                  </c:pt>
                  <c:pt idx="26">
                    <c:v>10/18/2022</c:v>
                  </c:pt>
                  <c:pt idx="27">
                    <c:v>6/2/2022</c:v>
                  </c:pt>
                  <c:pt idx="28">
                    <c:v>1/7/2021</c:v>
                  </c:pt>
                  <c:pt idx="29">
                    <c:v>6/15/2021</c:v>
                  </c:pt>
                  <c:pt idx="30">
                    <c:v>12/27/2019</c:v>
                  </c:pt>
                  <c:pt idx="31">
                    <c:v>2/28/2023</c:v>
                  </c:pt>
                  <c:pt idx="32">
                    <c:v>4/21/2022</c:v>
                  </c:pt>
                  <c:pt idx="33">
                    <c:v>4/19/2021</c:v>
                  </c:pt>
                  <c:pt idx="34">
                    <c:v>9/19/2023</c:v>
                  </c:pt>
                  <c:pt idx="35">
                    <c:v>8/4/2020</c:v>
                  </c:pt>
                  <c:pt idx="36">
                    <c:v>12/18/2018</c:v>
                  </c:pt>
                  <c:pt idx="37">
                    <c:v>6/17/2020</c:v>
                  </c:pt>
                  <c:pt idx="38">
                    <c:v>8/1/2023</c:v>
                  </c:pt>
                  <c:pt idx="39">
                    <c:v>10/11/2019</c:v>
                  </c:pt>
                  <c:pt idx="40">
                    <c:v>3/3/2022</c:v>
                  </c:pt>
                  <c:pt idx="41">
                    <c:v>8/31/2022</c:v>
                  </c:pt>
                  <c:pt idx="42">
                    <c:v>4/14/2023</c:v>
                  </c:pt>
                  <c:pt idx="43">
                    <c:v>11/19/2020</c:v>
                  </c:pt>
                </c:lvl>
                <c:lvl>
                  <c:pt idx="0">
                    <c:v>Splunk, SIEM, Threat Detection, Python</c:v>
                  </c:pt>
                  <c:pt idx="1">
                    <c:v>Cisco IOS, Network Security, Routing, Switching</c:v>
                  </c:pt>
                  <c:pt idx="2">
                    <c:v>Cisco IOS, VPNs, Firewalls, Wireshark</c:v>
                  </c:pt>
                  <c:pt idx="3">
                    <c:v>HRIS, Excel, Communication, Interviewing</c:v>
                  </c:pt>
                  <c:pt idx="4">
                    <c:v>JavaScript, Python, Git, Agile</c:v>
                  </c:pt>
                  <c:pt idx="5">
                    <c:v>Legal Drafting, Research, MS Word, Organization</c:v>
                  </c:pt>
                  <c:pt idx="6">
                    <c:v>Scheduling, Outlook, Customer Service</c:v>
                  </c:pt>
                  <c:pt idx="7">
                    <c:v>Excel, Market Research, PowerPoint, Reporting</c:v>
                  </c:pt>
                  <c:pt idx="8">
                    <c:v>Python, SQL, Excel, Git</c:v>
                  </c:pt>
                  <c:pt idx="9">
                    <c:v>Java, Python, Cloud, Git</c:v>
                  </c:pt>
                  <c:pt idx="10">
                    <c:v>SIEM, Network Logs, Splunk, Threat Detection</c:v>
                  </c:pt>
                  <c:pt idx="11">
                    <c:v>Excel, Scheduling, Communication, Time Management</c:v>
                  </c:pt>
                  <c:pt idx="12">
                    <c:v>Excel, Forecasting, Finance, Reporting</c:v>
                  </c:pt>
                  <c:pt idx="13">
                    <c:v>Legal Policy, Documentation, Drafting, Compliance</c:v>
                  </c:pt>
                  <c:pt idx="14">
                    <c:v>Excel, Forecasting, Financial Modeling, Power BI</c:v>
                  </c:pt>
                  <c:pt idx="15">
                    <c:v>Word, Scheduling, Outlook, Customer Service</c:v>
                  </c:pt>
                  <c:pt idx="16">
                    <c:v>Power BI, SQL, Data Modeling, Communication</c:v>
                  </c:pt>
                  <c:pt idx="17">
                    <c:v>Splunk, Threat Analysis, SIEM, Linux</c:v>
                  </c:pt>
                  <c:pt idx="18">
                    <c:v>HRIS, Payroll, Excel, Onboarding</c:v>
                  </c:pt>
                  <c:pt idx="19">
                    <c:v>Excel, SQL, Reporting, Communication</c:v>
                  </c:pt>
                  <c:pt idx="20">
                    <c:v>Excel, QuickBooks, Tax Prep, Forecasting</c:v>
                  </c:pt>
                  <c:pt idx="21">
                    <c:v>Legal Research, Documentation, MS Word, Compliance</c:v>
                  </c:pt>
                  <c:pt idx="22">
                    <c:v>Legal Research, Documentation, MS Word, Compliance</c:v>
                  </c:pt>
                  <c:pt idx="23">
                    <c:v>Outlook, Scheduling, Communication</c:v>
                  </c:pt>
                  <c:pt idx="24">
                    <c:v>Cisco IOS, Network Design, Firewalls, Python</c:v>
                  </c:pt>
                  <c:pt idx="25">
                    <c:v>HRIS, Recruiting, Communication, Excel</c:v>
                  </c:pt>
                  <c:pt idx="26">
                    <c:v>Threat Hunting, SIEM, Python, Splunk</c:v>
                  </c:pt>
                  <c:pt idx="27">
                    <c:v>Python, Java, API Integration, Git</c:v>
                  </c:pt>
                  <c:pt idx="28">
                    <c:v>Accounting, Excel, Forecasting, SAP</c:v>
                  </c:pt>
                  <c:pt idx="29">
                    <c:v>Power BI, SQL, Excel, Stakeholder Communication</c:v>
                  </c:pt>
                  <c:pt idx="30">
                    <c:v>Excel, SQL, Data Analysis, Power BI</c:v>
                  </c:pt>
                  <c:pt idx="31">
                    <c:v>Legal Research, Drafting, Documentation, Compliance</c:v>
                  </c:pt>
                  <c:pt idx="32">
                    <c:v>Excel, Python, SQL, Data Visualization</c:v>
                  </c:pt>
                  <c:pt idx="33">
                    <c:v>Python, Git, Cloud, Agile</c:v>
                  </c:pt>
                  <c:pt idx="34">
                    <c:v>Python, Excel, SQL, Data Analytics</c:v>
                  </c:pt>
                  <c:pt idx="35">
                    <c:v>Customer Service, Outlook, Communication</c:v>
                  </c:pt>
                  <c:pt idx="36">
                    <c:v>Excel, SAP, Auditing, Financial Reports</c:v>
                  </c:pt>
                  <c:pt idx="37">
                    <c:v>HR Policy, Management, Excel, Communication</c:v>
                  </c:pt>
                  <c:pt idx="38">
                    <c:v>Excel, Financial Modeling, Forecasting, Reporting</c:v>
                  </c:pt>
                  <c:pt idx="39">
                    <c:v>Scheduling, Data Entry, Word, Communication</c:v>
                  </c:pt>
                  <c:pt idx="40">
                    <c:v>HRIS, Recruiting, Excel, Communication</c:v>
                  </c:pt>
                  <c:pt idx="41">
                    <c:v>Excel, Tax Prep, Forecasting, Financial Reporting</c:v>
                  </c:pt>
                  <c:pt idx="42">
                    <c:v>Cisco IOS, VPNs, Routing, Security</c:v>
                  </c:pt>
                  <c:pt idx="43">
                    <c:v>Network Security, VLANs, Firewalls, Troubleshooting</c:v>
                  </c:pt>
                </c:lvl>
                <c:lvl>
                  <c:pt idx="0">
                    <c:v>SOC Analyst</c:v>
                  </c:pt>
                  <c:pt idx="1">
                    <c:v>Network Engineer</c:v>
                  </c:pt>
                  <c:pt idx="2">
                    <c:v>Cybersecurity Engineer</c:v>
                  </c:pt>
                  <c:pt idx="3">
                    <c:v>HR Specialist</c:v>
                  </c:pt>
                  <c:pt idx="4">
                    <c:v>Software Developer</c:v>
                  </c:pt>
                  <c:pt idx="5">
                    <c:v>Paralegal</c:v>
                  </c:pt>
                  <c:pt idx="6">
                    <c:v>Receptionist</c:v>
                  </c:pt>
                  <c:pt idx="7">
                    <c:v>Market Analyst</c:v>
                  </c:pt>
                  <c:pt idx="8">
                    <c:v>Software Developer</c:v>
                  </c:pt>
                  <c:pt idx="9">
                    <c:v>Software Developer</c:v>
                  </c:pt>
                  <c:pt idx="10">
                    <c:v>SOC Analyst</c:v>
                  </c:pt>
                  <c:pt idx="11">
                    <c:v>Office Manager</c:v>
                  </c:pt>
                  <c:pt idx="12">
                    <c:v>Financial Analyst</c:v>
                  </c:pt>
                  <c:pt idx="13">
                    <c:v>Legal Counsel</c:v>
                  </c:pt>
                  <c:pt idx="14">
                    <c:v>Financial Analyst</c:v>
                  </c:pt>
                  <c:pt idx="15">
                    <c:v>Secretary</c:v>
                  </c:pt>
                  <c:pt idx="16">
                    <c:v>Business Analyst</c:v>
                  </c:pt>
                  <c:pt idx="17">
                    <c:v>SOC Analyst</c:v>
                  </c:pt>
                  <c:pt idx="18">
                    <c:v>HR Assistant</c:v>
                  </c:pt>
                  <c:pt idx="19">
                    <c:v>Business Analyst</c:v>
                  </c:pt>
                  <c:pt idx="20">
                    <c:v>Accountant</c:v>
                  </c:pt>
                  <c:pt idx="21">
                    <c:v>Legal Assistant</c:v>
                  </c:pt>
                  <c:pt idx="22">
                    <c:v>Legal Assistant</c:v>
                  </c:pt>
                  <c:pt idx="23">
                    <c:v>Receptionist</c:v>
                  </c:pt>
                  <c:pt idx="24">
                    <c:v>Network Engineer</c:v>
                  </c:pt>
                  <c:pt idx="25">
                    <c:v>Recruiter</c:v>
                  </c:pt>
                  <c:pt idx="26">
                    <c:v>SOC Analyst</c:v>
                  </c:pt>
                  <c:pt idx="27">
                    <c:v>Software Developer</c:v>
                  </c:pt>
                  <c:pt idx="28">
                    <c:v>Accountant</c:v>
                  </c:pt>
                  <c:pt idx="29">
                    <c:v>Business Analyst</c:v>
                  </c:pt>
                  <c:pt idx="30">
                    <c:v>Business Analyst</c:v>
                  </c:pt>
                  <c:pt idx="31">
                    <c:v>Paralegal</c:v>
                  </c:pt>
                  <c:pt idx="32">
                    <c:v>Data Analyst</c:v>
                  </c:pt>
                  <c:pt idx="33">
                    <c:v>Software Developer</c:v>
                  </c:pt>
                  <c:pt idx="34">
                    <c:v>Data Analyst</c:v>
                  </c:pt>
                  <c:pt idx="35">
                    <c:v>Receptionist</c:v>
                  </c:pt>
                  <c:pt idx="36">
                    <c:v>Accountant</c:v>
                  </c:pt>
                  <c:pt idx="37">
                    <c:v>HR Manager</c:v>
                  </c:pt>
                  <c:pt idx="38">
                    <c:v>Financial Analyst</c:v>
                  </c:pt>
                  <c:pt idx="39">
                    <c:v>Secretary</c:v>
                  </c:pt>
                  <c:pt idx="40">
                    <c:v>HR Coordinator</c:v>
                  </c:pt>
                  <c:pt idx="41">
                    <c:v>Accountant</c:v>
                  </c:pt>
                  <c:pt idx="42">
                    <c:v>Network Engineer</c:v>
                  </c:pt>
                  <c:pt idx="43">
                    <c:v>Network Engineer</c:v>
                  </c:pt>
                </c:lvl>
                <c:lvl>
                  <c:pt idx="0">
                    <c:v>IT</c:v>
                  </c:pt>
                  <c:pt idx="1">
                    <c:v>IT</c:v>
                  </c:pt>
                  <c:pt idx="2">
                    <c:v>IT</c:v>
                  </c:pt>
                  <c:pt idx="3">
                    <c:v>HR</c:v>
                  </c:pt>
                  <c:pt idx="4">
                    <c:v>IT</c:v>
                  </c:pt>
                  <c:pt idx="5">
                    <c:v>Legal</c:v>
                  </c:pt>
                  <c:pt idx="6">
                    <c:v>Admin</c:v>
                  </c:pt>
                  <c:pt idx="7">
                    <c:v>Business</c:v>
                  </c:pt>
                  <c:pt idx="8">
                    <c:v>IT</c:v>
                  </c:pt>
                  <c:pt idx="9">
                    <c:v>IT</c:v>
                  </c:pt>
                  <c:pt idx="10">
                    <c:v>IT</c:v>
                  </c:pt>
                  <c:pt idx="11">
                    <c:v>Admin</c:v>
                  </c:pt>
                  <c:pt idx="12">
                    <c:v>Finance</c:v>
                  </c:pt>
                  <c:pt idx="13">
                    <c:v>Legal</c:v>
                  </c:pt>
                  <c:pt idx="14">
                    <c:v>Finance</c:v>
                  </c:pt>
                  <c:pt idx="15">
                    <c:v>Admin</c:v>
                  </c:pt>
                  <c:pt idx="16">
                    <c:v>Business</c:v>
                  </c:pt>
                  <c:pt idx="17">
                    <c:v>IT</c:v>
                  </c:pt>
                  <c:pt idx="18">
                    <c:v>HR</c:v>
                  </c:pt>
                  <c:pt idx="19">
                    <c:v>Business</c:v>
                  </c:pt>
                  <c:pt idx="20">
                    <c:v>Finance</c:v>
                  </c:pt>
                  <c:pt idx="21">
                    <c:v>Legal</c:v>
                  </c:pt>
                  <c:pt idx="22">
                    <c:v>Legal</c:v>
                  </c:pt>
                  <c:pt idx="23">
                    <c:v>Admin</c:v>
                  </c:pt>
                  <c:pt idx="24">
                    <c:v>IT</c:v>
                  </c:pt>
                  <c:pt idx="25">
                    <c:v>HR</c:v>
                  </c:pt>
                  <c:pt idx="26">
                    <c:v>IT</c:v>
                  </c:pt>
                  <c:pt idx="27">
                    <c:v>IT</c:v>
                  </c:pt>
                  <c:pt idx="28">
                    <c:v>Finance</c:v>
                  </c:pt>
                  <c:pt idx="29">
                    <c:v>Business</c:v>
                  </c:pt>
                  <c:pt idx="30">
                    <c:v>Business</c:v>
                  </c:pt>
                  <c:pt idx="31">
                    <c:v>Legal</c:v>
                  </c:pt>
                  <c:pt idx="32">
                    <c:v>Business</c:v>
                  </c:pt>
                  <c:pt idx="33">
                    <c:v>IT</c:v>
                  </c:pt>
                  <c:pt idx="34">
                    <c:v>Business</c:v>
                  </c:pt>
                  <c:pt idx="35">
                    <c:v>Admin</c:v>
                  </c:pt>
                  <c:pt idx="36">
                    <c:v>Finance</c:v>
                  </c:pt>
                  <c:pt idx="37">
                    <c:v>HR</c:v>
                  </c:pt>
                  <c:pt idx="38">
                    <c:v>Finance</c:v>
                  </c:pt>
                  <c:pt idx="39">
                    <c:v>Admin</c:v>
                  </c:pt>
                  <c:pt idx="40">
                    <c:v>HR</c:v>
                  </c:pt>
                  <c:pt idx="41">
                    <c:v>Finance</c:v>
                  </c:pt>
                  <c:pt idx="42">
                    <c:v>IT</c:v>
                  </c:pt>
                  <c:pt idx="43">
                    <c:v>IT</c:v>
                  </c:pt>
                </c:lvl>
                <c:lvl>
                  <c:pt idx="0">
                    <c:v>Frank Johnson</c:v>
                  </c:pt>
                  <c:pt idx="1">
                    <c:v>Liam Hughes</c:v>
                  </c:pt>
                  <c:pt idx="2">
                    <c:v>Brian Lee</c:v>
                  </c:pt>
                  <c:pt idx="3">
                    <c:v>Carla Ruiz</c:v>
                  </c:pt>
                  <c:pt idx="4">
                    <c:v>Quinn Lopez</c:v>
                  </c:pt>
                  <c:pt idx="5">
                    <c:v>Rachel Scott</c:v>
                  </c:pt>
                  <c:pt idx="6">
                    <c:v>Emma Brown</c:v>
                  </c:pt>
                  <c:pt idx="7">
                    <c:v>Victor Perez</c:v>
                  </c:pt>
                  <c:pt idx="8">
                    <c:v>Alice Carter</c:v>
                  </c:pt>
                  <c:pt idx="9">
                    <c:v>Henry Adams</c:v>
                  </c:pt>
                  <c:pt idx="10">
                    <c:v>Ben Torres</c:v>
                  </c:pt>
                  <c:pt idx="11">
                    <c:v>Chloe Murphy</c:v>
                  </c:pt>
                  <c:pt idx="12">
                    <c:v>David Cook</c:v>
                  </c:pt>
                  <c:pt idx="13">
                    <c:v>Elena Shaw</c:v>
                  </c:pt>
                  <c:pt idx="14">
                    <c:v>Samuel King</c:v>
                  </c:pt>
                  <c:pt idx="15">
                    <c:v>Jason Lee</c:v>
                  </c:pt>
                  <c:pt idx="16">
                    <c:v>Jack Wilson</c:v>
                  </c:pt>
                  <c:pt idx="17">
                    <c:v>Noah Green</c:v>
                  </c:pt>
                  <c:pt idx="18">
                    <c:v>Mia Hernandez</c:v>
                  </c:pt>
                  <c:pt idx="19">
                    <c:v>Nate Brooks</c:v>
                  </c:pt>
                  <c:pt idx="20">
                    <c:v>Daniel Wright</c:v>
                  </c:pt>
                  <c:pt idx="21">
                    <c:v>Grace Kim</c:v>
                  </c:pt>
                  <c:pt idx="22">
                    <c:v>Yolanda Brooks</c:v>
                  </c:pt>
                  <c:pt idx="23">
                    <c:v>Quinn Parker</c:v>
                  </c:pt>
                  <c:pt idx="24">
                    <c:v>Felix Rivera</c:v>
                  </c:pt>
                  <c:pt idx="25">
                    <c:v>Monica Diaz</c:v>
                  </c:pt>
                  <c:pt idx="26">
                    <c:v>Leo White</c:v>
                  </c:pt>
                  <c:pt idx="27">
                    <c:v>Isabella Price</c:v>
                  </c:pt>
                  <c:pt idx="28">
                    <c:v>Xavier James</c:v>
                  </c:pt>
                  <c:pt idx="29">
                    <c:v>Amy Foster</c:v>
                  </c:pt>
                  <c:pt idx="30">
                    <c:v>Paul Baker</c:v>
                  </c:pt>
                  <c:pt idx="31">
                    <c:v>Olivia James</c:v>
                  </c:pt>
                  <c:pt idx="32">
                    <c:v>Howard Allen</c:v>
                  </c:pt>
                  <c:pt idx="33">
                    <c:v>Zachary Bell</c:v>
                  </c:pt>
                  <c:pt idx="34">
                    <c:v>Sophia Carter</c:v>
                  </c:pt>
                  <c:pt idx="35">
                    <c:v>Uma Clark</c:v>
                  </c:pt>
                  <c:pt idx="36">
                    <c:v>Irene Patel</c:v>
                  </c:pt>
                  <c:pt idx="37">
                    <c:v>Tina Nguyen</c:v>
                  </c:pt>
                  <c:pt idx="38">
                    <c:v>Ryan Ellis</c:v>
                  </c:pt>
                  <c:pt idx="39">
                    <c:v>Olivia Ross</c:v>
                  </c:pt>
                  <c:pt idx="40">
                    <c:v>Gina Long</c:v>
                  </c:pt>
                  <c:pt idx="41">
                    <c:v>Kelly Martin</c:v>
                  </c:pt>
                  <c:pt idx="42">
                    <c:v>Peter Stone</c:v>
                  </c:pt>
                  <c:pt idx="43">
                    <c:v>Wendy Ortiz</c:v>
                  </c:pt>
                </c:lvl>
                <c:lvl>
                  <c:pt idx="0">
                    <c:v>E006</c:v>
                  </c:pt>
                  <c:pt idx="1">
                    <c:v>E012</c:v>
                  </c:pt>
                  <c:pt idx="2">
                    <c:v>E002</c:v>
                  </c:pt>
                  <c:pt idx="3">
                    <c:v>E003</c:v>
                  </c:pt>
                  <c:pt idx="4">
                    <c:v>E017</c:v>
                  </c:pt>
                  <c:pt idx="5">
                    <c:v>E018</c:v>
                  </c:pt>
                  <c:pt idx="6">
                    <c:v>E005</c:v>
                  </c:pt>
                  <c:pt idx="7">
                    <c:v>E022</c:v>
                  </c:pt>
                  <c:pt idx="8">
                    <c:v>E001</c:v>
                  </c:pt>
                  <c:pt idx="9">
                    <c:v>E008</c:v>
                  </c:pt>
                  <c:pt idx="10">
                    <c:v>E028</c:v>
                  </c:pt>
                  <c:pt idx="11">
                    <c:v>E029</c:v>
                  </c:pt>
                  <c:pt idx="12">
                    <c:v>E030</c:v>
                  </c:pt>
                  <c:pt idx="13">
                    <c:v>E031</c:v>
                  </c:pt>
                  <c:pt idx="14">
                    <c:v>E019</c:v>
                  </c:pt>
                  <c:pt idx="15">
                    <c:v>E036</c:v>
                  </c:pt>
                  <c:pt idx="16">
                    <c:v>E010</c:v>
                  </c:pt>
                  <c:pt idx="17">
                    <c:v>E014</c:v>
                  </c:pt>
                  <c:pt idx="18">
                    <c:v>E039</c:v>
                  </c:pt>
                  <c:pt idx="19">
                    <c:v>E040</c:v>
                  </c:pt>
                  <c:pt idx="20">
                    <c:v>E004</c:v>
                  </c:pt>
                  <c:pt idx="21">
                    <c:v>E007</c:v>
                  </c:pt>
                  <c:pt idx="22">
                    <c:v>E025</c:v>
                  </c:pt>
                  <c:pt idx="23">
                    <c:v>E043</c:v>
                  </c:pt>
                  <c:pt idx="24">
                    <c:v>E032</c:v>
                  </c:pt>
                  <c:pt idx="25">
                    <c:v>E013</c:v>
                  </c:pt>
                  <c:pt idx="26">
                    <c:v>E038</c:v>
                  </c:pt>
                  <c:pt idx="27">
                    <c:v>E035</c:v>
                  </c:pt>
                  <c:pt idx="28">
                    <c:v>E024</c:v>
                  </c:pt>
                  <c:pt idx="29">
                    <c:v>E027</c:v>
                  </c:pt>
                  <c:pt idx="30">
                    <c:v>E016</c:v>
                  </c:pt>
                  <c:pt idx="31">
                    <c:v>E041</c:v>
                  </c:pt>
                  <c:pt idx="32">
                    <c:v>E034</c:v>
                  </c:pt>
                  <c:pt idx="33">
                    <c:v>E026</c:v>
                  </c:pt>
                  <c:pt idx="34">
                    <c:v>E045</c:v>
                  </c:pt>
                  <c:pt idx="35">
                    <c:v>E021</c:v>
                  </c:pt>
                  <c:pt idx="36">
                    <c:v>E009</c:v>
                  </c:pt>
                  <c:pt idx="37">
                    <c:v>E020</c:v>
                  </c:pt>
                  <c:pt idx="38">
                    <c:v>E044</c:v>
                  </c:pt>
                  <c:pt idx="39">
                    <c:v>E015</c:v>
                  </c:pt>
                  <c:pt idx="40">
                    <c:v>E033</c:v>
                  </c:pt>
                  <c:pt idx="41">
                    <c:v>E037</c:v>
                  </c:pt>
                  <c:pt idx="42">
                    <c:v>E042</c:v>
                  </c:pt>
                  <c:pt idx="43">
                    <c:v>E023</c:v>
                  </c:pt>
                </c:lvl>
              </c:multiLvlStrCache>
            </c:multiLvlStrRef>
          </c:xVal>
          <c:yVal>
            <c:numRef>
              <c:f>'Main Table'!$Q$2:$Q$47</c:f>
            </c:numRef>
          </c:yVal>
          <c:smooth val="0"/>
          <c:extLst>
            <c:ext xmlns:c16="http://schemas.microsoft.com/office/drawing/2014/chart" uri="{C3380CC4-5D6E-409C-BE32-E72D297353CC}">
              <c16:uniqueId val="{00000000-D300-434D-964C-C9DA4E3902E5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9B88F8"/>
                </a:solidFill>
              </a:ln>
              <a:effectLst/>
            </c:spPr>
          </c:marker>
          <c:trendline>
            <c:spPr>
              <a:ln w="31750" cap="rnd" cmpd="sng">
                <a:solidFill>
                  <a:srgbClr val="9B88F8"/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1311034217608615E-2"/>
                  <c:y val="0.66488431564796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'Main Table'!$M$2:$M$47</c:f>
              <c:numCache>
                <c:formatCode>General</c:formatCode>
                <c:ptCount val="45"/>
                <c:pt idx="0">
                  <c:v>90</c:v>
                </c:pt>
                <c:pt idx="1">
                  <c:v>85</c:v>
                </c:pt>
                <c:pt idx="2">
                  <c:v>70</c:v>
                </c:pt>
                <c:pt idx="3">
                  <c:v>75</c:v>
                </c:pt>
                <c:pt idx="4">
                  <c:v>83</c:v>
                </c:pt>
                <c:pt idx="5">
                  <c:v>58</c:v>
                </c:pt>
                <c:pt idx="6">
                  <c:v>68</c:v>
                </c:pt>
                <c:pt idx="7">
                  <c:v>74</c:v>
                </c:pt>
                <c:pt idx="8">
                  <c:v>57</c:v>
                </c:pt>
                <c:pt idx="9">
                  <c:v>70</c:v>
                </c:pt>
                <c:pt idx="10">
                  <c:v>81</c:v>
                </c:pt>
                <c:pt idx="11">
                  <c:v>67</c:v>
                </c:pt>
                <c:pt idx="12">
                  <c:v>50</c:v>
                </c:pt>
                <c:pt idx="13">
                  <c:v>66</c:v>
                </c:pt>
                <c:pt idx="14">
                  <c:v>68</c:v>
                </c:pt>
                <c:pt idx="15">
                  <c:v>55</c:v>
                </c:pt>
                <c:pt idx="16">
                  <c:v>61</c:v>
                </c:pt>
                <c:pt idx="17">
                  <c:v>78</c:v>
                </c:pt>
                <c:pt idx="18">
                  <c:v>52</c:v>
                </c:pt>
                <c:pt idx="19">
                  <c:v>51</c:v>
                </c:pt>
                <c:pt idx="20">
                  <c:v>52</c:v>
                </c:pt>
                <c:pt idx="21">
                  <c:v>72</c:v>
                </c:pt>
                <c:pt idx="22">
                  <c:v>56</c:v>
                </c:pt>
                <c:pt idx="23">
                  <c:v>60</c:v>
                </c:pt>
                <c:pt idx="24">
                  <c:v>76</c:v>
                </c:pt>
                <c:pt idx="25">
                  <c:v>50</c:v>
                </c:pt>
                <c:pt idx="26">
                  <c:v>64</c:v>
                </c:pt>
                <c:pt idx="27">
                  <c:v>58</c:v>
                </c:pt>
                <c:pt idx="28">
                  <c:v>62</c:v>
                </c:pt>
                <c:pt idx="29">
                  <c:v>73</c:v>
                </c:pt>
                <c:pt idx="30">
                  <c:v>63</c:v>
                </c:pt>
                <c:pt idx="31">
                  <c:v>50</c:v>
                </c:pt>
                <c:pt idx="32">
                  <c:v>59</c:v>
                </c:pt>
                <c:pt idx="33">
                  <c:v>54</c:v>
                </c:pt>
                <c:pt idx="34">
                  <c:v>60</c:v>
                </c:pt>
                <c:pt idx="35">
                  <c:v>63</c:v>
                </c:pt>
                <c:pt idx="36">
                  <c:v>70</c:v>
                </c:pt>
                <c:pt idx="37">
                  <c:v>64</c:v>
                </c:pt>
                <c:pt idx="38">
                  <c:v>56</c:v>
                </c:pt>
                <c:pt idx="39">
                  <c:v>53</c:v>
                </c:pt>
                <c:pt idx="40">
                  <c:v>62</c:v>
                </c:pt>
                <c:pt idx="41">
                  <c:v>67</c:v>
                </c:pt>
                <c:pt idx="42">
                  <c:v>56</c:v>
                </c:pt>
                <c:pt idx="43">
                  <c:v>41</c:v>
                </c:pt>
              </c:numCache>
            </c:numRef>
          </c:xVal>
          <c:yVal>
            <c:numRef>
              <c:f>'Main Table'!$K$2:$K$47</c:f>
              <c:numCache>
                <c:formatCode>0.00</c:formatCode>
                <c:ptCount val="45"/>
                <c:pt idx="0">
                  <c:v>6.8109589041095893</c:v>
                </c:pt>
                <c:pt idx="1">
                  <c:v>6.3041095890410963</c:v>
                </c:pt>
                <c:pt idx="2">
                  <c:v>6.1780821917808222</c:v>
                </c:pt>
                <c:pt idx="3">
                  <c:v>6.1123287671232873</c:v>
                </c:pt>
                <c:pt idx="4">
                  <c:v>5.8684931506849312</c:v>
                </c:pt>
                <c:pt idx="5">
                  <c:v>5.8246575342465752</c:v>
                </c:pt>
                <c:pt idx="6">
                  <c:v>5.484931506849315</c:v>
                </c:pt>
                <c:pt idx="7">
                  <c:v>5.4246575342465757</c:v>
                </c:pt>
                <c:pt idx="8">
                  <c:v>5.3232876712328769</c:v>
                </c:pt>
                <c:pt idx="9">
                  <c:v>5.2657534246575342</c:v>
                </c:pt>
                <c:pt idx="10">
                  <c:v>4.9753424657534246</c:v>
                </c:pt>
                <c:pt idx="11">
                  <c:v>4.8794520547945206</c:v>
                </c:pt>
                <c:pt idx="12">
                  <c:v>4.8082191780821919</c:v>
                </c:pt>
                <c:pt idx="13">
                  <c:v>4.6739726027397257</c:v>
                </c:pt>
                <c:pt idx="14">
                  <c:v>4.5287671232876709</c:v>
                </c:pt>
                <c:pt idx="15">
                  <c:v>4.3123287671232875</c:v>
                </c:pt>
                <c:pt idx="16">
                  <c:v>4.3041095890410963</c:v>
                </c:pt>
                <c:pt idx="17">
                  <c:v>4.2246575342465755</c:v>
                </c:pt>
                <c:pt idx="18">
                  <c:v>4.0547945205479454</c:v>
                </c:pt>
                <c:pt idx="19">
                  <c:v>3.9534246575342467</c:v>
                </c:pt>
                <c:pt idx="20">
                  <c:v>3.9342465753424656</c:v>
                </c:pt>
                <c:pt idx="21">
                  <c:v>3.8465753424657536</c:v>
                </c:pt>
                <c:pt idx="22">
                  <c:v>3.8356164383561642</c:v>
                </c:pt>
                <c:pt idx="23">
                  <c:v>3.6958904109589041</c:v>
                </c:pt>
                <c:pt idx="24">
                  <c:v>3.5232876712328767</c:v>
                </c:pt>
                <c:pt idx="25">
                  <c:v>3.3479452054794518</c:v>
                </c:pt>
                <c:pt idx="26">
                  <c:v>3.3205479452054796</c:v>
                </c:pt>
                <c:pt idx="27">
                  <c:v>3.1698630136986301</c:v>
                </c:pt>
                <c:pt idx="28">
                  <c:v>3.0465753424657533</c:v>
                </c:pt>
                <c:pt idx="29">
                  <c:v>2.9178082191780823</c:v>
                </c:pt>
                <c:pt idx="30">
                  <c:v>2.8794520547945206</c:v>
                </c:pt>
                <c:pt idx="31">
                  <c:v>2.6876712328767125</c:v>
                </c:pt>
                <c:pt idx="32">
                  <c:v>2.419178082191781</c:v>
                </c:pt>
                <c:pt idx="33">
                  <c:v>2.2219178082191782</c:v>
                </c:pt>
                <c:pt idx="34">
                  <c:v>2.1890410958904107</c:v>
                </c:pt>
                <c:pt idx="35">
                  <c:v>2.0630136986301371</c:v>
                </c:pt>
                <c:pt idx="36">
                  <c:v>1.8493150684931507</c:v>
                </c:pt>
                <c:pt idx="37">
                  <c:v>1.7643835616438357</c:v>
                </c:pt>
                <c:pt idx="38">
                  <c:v>1.7534246575342465</c:v>
                </c:pt>
                <c:pt idx="39">
                  <c:v>1.5835616438356164</c:v>
                </c:pt>
                <c:pt idx="40">
                  <c:v>1.558904109589041</c:v>
                </c:pt>
                <c:pt idx="41">
                  <c:v>0.78904109589041094</c:v>
                </c:pt>
                <c:pt idx="42">
                  <c:v>0.65753424657534243</c:v>
                </c:pt>
                <c:pt idx="43">
                  <c:v>0.32328767123287672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00-434D-964C-C9DA4E390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3432448"/>
        <c:axId val="1883431968"/>
      </c:scatterChart>
      <c:valAx>
        <c:axId val="1883432448"/>
        <c:scaling>
          <c:orientation val="minMax"/>
          <c:max val="80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unga" panose="020B0502040204020203" pitchFamily="34" charset="0"/>
                    <a:ea typeface="+mn-ea"/>
                    <a:cs typeface="Tunga" panose="020B0502040204020203" pitchFamily="34" charset="0"/>
                  </a:defRPr>
                </a:pPr>
                <a:r>
                  <a:rPr lang="en-US"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rPr>
                  <a:t>Performance Score</a:t>
                </a:r>
              </a:p>
            </c:rich>
          </c:tx>
          <c:layout>
            <c:manualLayout>
              <c:xMode val="edge"/>
              <c:yMode val="edge"/>
              <c:x val="0.39555849203970611"/>
              <c:y val="0.898160034231921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1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Tunga" panose="020B0502040204020203" pitchFamily="34" charset="0"/>
                  <a:ea typeface="+mn-ea"/>
                  <a:cs typeface="Tunga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431968"/>
        <c:crosses val="autoZero"/>
        <c:crossBetween val="midCat"/>
        <c:majorUnit val="5"/>
      </c:valAx>
      <c:valAx>
        <c:axId val="1883431968"/>
        <c:scaling>
          <c:orientation val="minMax"/>
          <c:max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Tenure(years)</a:t>
                </a:r>
              </a:p>
            </c:rich>
          </c:tx>
          <c:layout>
            <c:manualLayout>
              <c:xMode val="edge"/>
              <c:yMode val="edge"/>
              <c:x val="1.7356042605635055E-2"/>
              <c:y val="0.236298548124522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43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latin typeface="Times New Roman" panose="02020603050405020304" pitchFamily="18" charset="0"/>
                <a:cs typeface="Times New Roman" panose="02020603050405020304" pitchFamily="18" charset="0"/>
              </a:rPr>
              <a:t>Tenure (Years) v  Salary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1750" cap="rnd" cmpd="sng">
                <a:solidFill>
                  <a:srgbClr val="9B88F8"/>
                </a:solidFill>
                <a:prstDash val="solid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3070368754926042E-2"/>
                  <c:y val="0.600334014919584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'Main Table'!$O$2:$O$47</c:f>
              <c:numCache>
                <c:formatCode>"$"#,##0</c:formatCode>
                <c:ptCount val="45"/>
                <c:pt idx="0">
                  <c:v>115000</c:v>
                </c:pt>
                <c:pt idx="1">
                  <c:v>112000</c:v>
                </c:pt>
                <c:pt idx="2">
                  <c:v>110000</c:v>
                </c:pt>
                <c:pt idx="3">
                  <c:v>108000</c:v>
                </c:pt>
                <c:pt idx="4">
                  <c:v>105000</c:v>
                </c:pt>
                <c:pt idx="5">
                  <c:v>40000</c:v>
                </c:pt>
                <c:pt idx="6">
                  <c:v>104000</c:v>
                </c:pt>
                <c:pt idx="7">
                  <c:v>103000</c:v>
                </c:pt>
                <c:pt idx="8">
                  <c:v>102000</c:v>
                </c:pt>
                <c:pt idx="9">
                  <c:v>100000</c:v>
                </c:pt>
                <c:pt idx="10">
                  <c:v>95000</c:v>
                </c:pt>
                <c:pt idx="11">
                  <c:v>75000</c:v>
                </c:pt>
                <c:pt idx="12">
                  <c:v>90000</c:v>
                </c:pt>
                <c:pt idx="13">
                  <c:v>65000</c:v>
                </c:pt>
                <c:pt idx="14">
                  <c:v>69000</c:v>
                </c:pt>
                <c:pt idx="15">
                  <c:v>91000</c:v>
                </c:pt>
                <c:pt idx="16">
                  <c:v>88000</c:v>
                </c:pt>
                <c:pt idx="17">
                  <c:v>87000</c:v>
                </c:pt>
                <c:pt idx="18">
                  <c:v>49000</c:v>
                </c:pt>
                <c:pt idx="19">
                  <c:v>40000</c:v>
                </c:pt>
                <c:pt idx="20">
                  <c:v>87000</c:v>
                </c:pt>
                <c:pt idx="21">
                  <c:v>85000</c:v>
                </c:pt>
                <c:pt idx="22">
                  <c:v>83000</c:v>
                </c:pt>
                <c:pt idx="23">
                  <c:v>80000</c:v>
                </c:pt>
                <c:pt idx="24">
                  <c:v>80000</c:v>
                </c:pt>
                <c:pt idx="25">
                  <c:v>78000</c:v>
                </c:pt>
                <c:pt idx="26">
                  <c:v>77000</c:v>
                </c:pt>
                <c:pt idx="27">
                  <c:v>73000</c:v>
                </c:pt>
                <c:pt idx="28">
                  <c:v>72000</c:v>
                </c:pt>
                <c:pt idx="29">
                  <c:v>70000</c:v>
                </c:pt>
                <c:pt idx="30">
                  <c:v>68000</c:v>
                </c:pt>
                <c:pt idx="31">
                  <c:v>67000</c:v>
                </c:pt>
                <c:pt idx="32">
                  <c:v>65000</c:v>
                </c:pt>
                <c:pt idx="33">
                  <c:v>63000</c:v>
                </c:pt>
                <c:pt idx="34">
                  <c:v>60000</c:v>
                </c:pt>
                <c:pt idx="35">
                  <c:v>58000</c:v>
                </c:pt>
                <c:pt idx="36">
                  <c:v>57000</c:v>
                </c:pt>
                <c:pt idx="37">
                  <c:v>54000</c:v>
                </c:pt>
                <c:pt idx="38">
                  <c:v>54000</c:v>
                </c:pt>
                <c:pt idx="39">
                  <c:v>45000</c:v>
                </c:pt>
                <c:pt idx="40">
                  <c:v>42000</c:v>
                </c:pt>
                <c:pt idx="41">
                  <c:v>35000</c:v>
                </c:pt>
                <c:pt idx="42">
                  <c:v>32000</c:v>
                </c:pt>
                <c:pt idx="43">
                  <c:v>31000</c:v>
                </c:pt>
              </c:numCache>
            </c:numRef>
          </c:xVal>
          <c:yVal>
            <c:numRef>
              <c:f>'Main Table'!$K$2:$K$47</c:f>
              <c:numCache>
                <c:formatCode>0.00</c:formatCode>
                <c:ptCount val="45"/>
                <c:pt idx="0">
                  <c:v>6.8109589041095893</c:v>
                </c:pt>
                <c:pt idx="1">
                  <c:v>6.3041095890410963</c:v>
                </c:pt>
                <c:pt idx="2">
                  <c:v>6.1780821917808222</c:v>
                </c:pt>
                <c:pt idx="3">
                  <c:v>6.1123287671232873</c:v>
                </c:pt>
                <c:pt idx="4">
                  <c:v>5.8684931506849312</c:v>
                </c:pt>
                <c:pt idx="5">
                  <c:v>5.8246575342465752</c:v>
                </c:pt>
                <c:pt idx="6">
                  <c:v>5.484931506849315</c:v>
                </c:pt>
                <c:pt idx="7">
                  <c:v>5.4246575342465757</c:v>
                </c:pt>
                <c:pt idx="8">
                  <c:v>5.3232876712328769</c:v>
                </c:pt>
                <c:pt idx="9">
                  <c:v>5.2657534246575342</c:v>
                </c:pt>
                <c:pt idx="10">
                  <c:v>4.9753424657534246</c:v>
                </c:pt>
                <c:pt idx="11">
                  <c:v>4.8794520547945206</c:v>
                </c:pt>
                <c:pt idx="12">
                  <c:v>4.8082191780821919</c:v>
                </c:pt>
                <c:pt idx="13">
                  <c:v>4.6739726027397257</c:v>
                </c:pt>
                <c:pt idx="14">
                  <c:v>4.5287671232876709</c:v>
                </c:pt>
                <c:pt idx="15">
                  <c:v>4.3123287671232875</c:v>
                </c:pt>
                <c:pt idx="16">
                  <c:v>4.3041095890410963</c:v>
                </c:pt>
                <c:pt idx="17">
                  <c:v>4.2246575342465755</c:v>
                </c:pt>
                <c:pt idx="18">
                  <c:v>4.0547945205479454</c:v>
                </c:pt>
                <c:pt idx="19">
                  <c:v>3.9534246575342467</c:v>
                </c:pt>
                <c:pt idx="20">
                  <c:v>3.9342465753424656</c:v>
                </c:pt>
                <c:pt idx="21">
                  <c:v>3.8465753424657536</c:v>
                </c:pt>
                <c:pt idx="22">
                  <c:v>3.8356164383561642</c:v>
                </c:pt>
                <c:pt idx="23">
                  <c:v>3.6958904109589041</c:v>
                </c:pt>
                <c:pt idx="24">
                  <c:v>3.5232876712328767</c:v>
                </c:pt>
                <c:pt idx="25">
                  <c:v>3.3479452054794518</c:v>
                </c:pt>
                <c:pt idx="26">
                  <c:v>3.3205479452054796</c:v>
                </c:pt>
                <c:pt idx="27">
                  <c:v>3.1698630136986301</c:v>
                </c:pt>
                <c:pt idx="28">
                  <c:v>3.0465753424657533</c:v>
                </c:pt>
                <c:pt idx="29">
                  <c:v>2.9178082191780823</c:v>
                </c:pt>
                <c:pt idx="30">
                  <c:v>2.8794520547945206</c:v>
                </c:pt>
                <c:pt idx="31">
                  <c:v>2.6876712328767125</c:v>
                </c:pt>
                <c:pt idx="32">
                  <c:v>2.419178082191781</c:v>
                </c:pt>
                <c:pt idx="33">
                  <c:v>2.2219178082191782</c:v>
                </c:pt>
                <c:pt idx="34">
                  <c:v>2.1890410958904107</c:v>
                </c:pt>
                <c:pt idx="35">
                  <c:v>2.0630136986301371</c:v>
                </c:pt>
                <c:pt idx="36">
                  <c:v>1.8493150684931507</c:v>
                </c:pt>
                <c:pt idx="37">
                  <c:v>1.7643835616438357</c:v>
                </c:pt>
                <c:pt idx="38">
                  <c:v>1.7534246575342465</c:v>
                </c:pt>
                <c:pt idx="39">
                  <c:v>1.5835616438356164</c:v>
                </c:pt>
                <c:pt idx="40">
                  <c:v>1.558904109589041</c:v>
                </c:pt>
                <c:pt idx="41">
                  <c:v>0.78904109589041094</c:v>
                </c:pt>
                <c:pt idx="42">
                  <c:v>0.65753424657534243</c:v>
                </c:pt>
                <c:pt idx="43">
                  <c:v>0.32328767123287672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78-4276-8656-43089EC55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70096"/>
        <c:axId val="244869616"/>
      </c:scatterChart>
      <c:valAx>
        <c:axId val="244870096"/>
        <c:scaling>
          <c:orientation val="minMax"/>
          <c:min val="3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Salary</a:t>
                </a:r>
              </a:p>
            </c:rich>
          </c:tx>
          <c:layout>
            <c:manualLayout>
              <c:xMode val="edge"/>
              <c:yMode val="edge"/>
              <c:x val="0.44039883754477077"/>
              <c:y val="0.89256926217556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69616"/>
        <c:crosses val="autoZero"/>
        <c:crossBetween val="midCat"/>
      </c:valAx>
      <c:valAx>
        <c:axId val="24486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Tenure(years)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87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Retention</a:t>
            </a:r>
            <a:r>
              <a:rPr lang="en-US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Rate v Performance Scores v Salary </a:t>
            </a:r>
          </a:p>
          <a:p>
            <a:pPr>
              <a:defRPr/>
            </a:pPr>
            <a:r>
              <a:rPr lang="en-US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(2018-2023)</a:t>
            </a:r>
            <a:endParaRPr lang="en-US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charts'!$H$3</c:f>
              <c:strCache>
                <c:ptCount val="1"/>
                <c:pt idx="0">
                  <c:v>Average of Performance_Score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'Line charts'!$G$4:$G$9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'Line charts'!$H$4:$H$9</c:f>
              <c:numCache>
                <c:formatCode>0.00</c:formatCode>
                <c:ptCount val="6"/>
                <c:pt idx="0">
                  <c:v>69.333333333333329</c:v>
                </c:pt>
                <c:pt idx="1">
                  <c:v>65.142857142857139</c:v>
                </c:pt>
                <c:pt idx="2">
                  <c:v>64.428571428571431</c:v>
                </c:pt>
                <c:pt idx="3">
                  <c:v>63.625</c:v>
                </c:pt>
                <c:pt idx="4">
                  <c:v>61.625</c:v>
                </c:pt>
                <c:pt idx="5">
                  <c:v>55.5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5D-486A-8A67-175AEB16D214}"/>
            </c:ext>
          </c:extLst>
        </c:ser>
        <c:ser>
          <c:idx val="2"/>
          <c:order val="2"/>
          <c:tx>
            <c:strRef>
              <c:f>'Line charts'!$J$3</c:f>
              <c:strCache>
                <c:ptCount val="1"/>
                <c:pt idx="0">
                  <c:v>Retention Rate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'Line charts'!$G$4:$G$9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'Line charts'!$J$4:$J$9</c:f>
              <c:numCache>
                <c:formatCode>0</c:formatCode>
                <c:ptCount val="6"/>
                <c:pt idx="0">
                  <c:v>100</c:v>
                </c:pt>
                <c:pt idx="1">
                  <c:v>100</c:v>
                </c:pt>
                <c:pt idx="2">
                  <c:v>88</c:v>
                </c:pt>
                <c:pt idx="3">
                  <c:v>86</c:v>
                </c:pt>
                <c:pt idx="4">
                  <c:v>65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5D-486A-8A67-175AEB16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897056"/>
        <c:axId val="1987899456"/>
      </c:lineChart>
      <c:lineChart>
        <c:grouping val="standard"/>
        <c:varyColors val="0"/>
        <c:ser>
          <c:idx val="1"/>
          <c:order val="1"/>
          <c:tx>
            <c:strRef>
              <c:f>'Line charts'!$I$3</c:f>
              <c:strCache>
                <c:ptCount val="1"/>
                <c:pt idx="0">
                  <c:v>Average of Salary</c:v>
                </c:pt>
              </c:strCache>
            </c:strRef>
          </c:tx>
          <c:spPr>
            <a:ln w="28575" cap="rnd">
              <a:solidFill>
                <a:srgbClr val="403CE0"/>
              </a:solidFill>
              <a:round/>
            </a:ln>
            <a:effectLst/>
          </c:spPr>
          <c:marker>
            <c:symbol val="none"/>
          </c:marker>
          <c:cat>
            <c:strRef>
              <c:f>'Line charts'!$G$4:$G$9</c:f>
              <c:strCache>
                <c:ptCount val="6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  <c:pt idx="5">
                  <c:v>2023</c:v>
                </c:pt>
              </c:strCache>
            </c:strRef>
          </c:cat>
          <c:val>
            <c:numRef>
              <c:f>'Line charts'!$I$4:$I$9</c:f>
              <c:numCache>
                <c:formatCode>"$"#,##0</c:formatCode>
                <c:ptCount val="6"/>
                <c:pt idx="0">
                  <c:v>96444.444444444438</c:v>
                </c:pt>
                <c:pt idx="1">
                  <c:v>81428.571428571435</c:v>
                </c:pt>
                <c:pt idx="2">
                  <c:v>65714.28571428571</c:v>
                </c:pt>
                <c:pt idx="3">
                  <c:v>76625</c:v>
                </c:pt>
                <c:pt idx="4">
                  <c:v>64000</c:v>
                </c:pt>
                <c:pt idx="5">
                  <c:v>55500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5D-486A-8A67-175AEB16D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391744"/>
        <c:axId val="1983391264"/>
      </c:lineChart>
      <c:catAx>
        <c:axId val="1987897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899456"/>
        <c:crosses val="autoZero"/>
        <c:auto val="1"/>
        <c:lblAlgn val="ctr"/>
        <c:lblOffset val="100"/>
        <c:noMultiLvlLbl val="0"/>
      </c:catAx>
      <c:valAx>
        <c:axId val="1987899456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Performance</a:t>
                </a:r>
                <a:r>
                  <a:rPr lang="en-US" b="1" baseline="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Score/ Retention Rate (%)</a:t>
                </a:r>
                <a:endParaRPr lang="en-US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897056"/>
        <c:crosses val="autoZero"/>
        <c:crossBetween val="between"/>
      </c:valAx>
      <c:valAx>
        <c:axId val="1983391264"/>
        <c:scaling>
          <c:orientation val="minMax"/>
          <c:max val="100000"/>
          <c:min val="5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Salary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391744"/>
        <c:crosses val="max"/>
        <c:crossBetween val="between"/>
        <c:majorUnit val="5000"/>
      </c:valAx>
      <c:catAx>
        <c:axId val="1983391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33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[employee_analysis_1.xlsm]Retention Analysis!PivotTable1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Count</a:t>
            </a:r>
            <a:r>
              <a:rPr lang="en-US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Employees who Stayed v Left by Department</a:t>
            </a:r>
            <a:endParaRPr lang="en-US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2313888888888889"/>
          <c:y val="9.62015164771070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403C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403C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403C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03C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403CE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'Retention Analysis'!$N$1</c:f>
              <c:strCache>
                <c:ptCount val="1"/>
                <c:pt idx="0">
                  <c:v>Total Count of Employees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'Retention Analysis'!$M$2:$M$8</c:f>
              <c:strCache>
                <c:ptCount val="6"/>
                <c:pt idx="0">
                  <c:v>Admin</c:v>
                </c:pt>
                <c:pt idx="1">
                  <c:v>Business</c:v>
                </c:pt>
                <c:pt idx="2">
                  <c:v>Finance</c:v>
                </c:pt>
                <c:pt idx="3">
                  <c:v>HR</c:v>
                </c:pt>
                <c:pt idx="4">
                  <c:v>IT</c:v>
                </c:pt>
                <c:pt idx="5">
                  <c:v>Legal</c:v>
                </c:pt>
              </c:strCache>
            </c:strRef>
          </c:cat>
          <c:val>
            <c:numRef>
              <c:f>'Retention Analysis'!$N$2:$N$8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5</c:v>
                </c:pt>
                <c:pt idx="4">
                  <c:v>14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7-469A-8A8E-7C714F167745}"/>
            </c:ext>
          </c:extLst>
        </c:ser>
        <c:ser>
          <c:idx val="1"/>
          <c:order val="1"/>
          <c:tx>
            <c:strRef>
              <c:f>'Retention Analysis'!$O$1</c:f>
              <c:strCache>
                <c:ptCount val="1"/>
                <c:pt idx="0">
                  <c:v>Sum of Employees Stayed</c:v>
                </c:pt>
              </c:strCache>
            </c:strRef>
          </c:tx>
          <c:spPr>
            <a:solidFill>
              <a:srgbClr val="403CE0"/>
            </a:solidFill>
            <a:ln>
              <a:noFill/>
            </a:ln>
            <a:effectLst/>
          </c:spPr>
          <c:invertIfNegative val="0"/>
          <c:cat>
            <c:strRef>
              <c:f>'Retention Analysis'!$M$2:$M$8</c:f>
              <c:strCache>
                <c:ptCount val="6"/>
                <c:pt idx="0">
                  <c:v>Admin</c:v>
                </c:pt>
                <c:pt idx="1">
                  <c:v>Business</c:v>
                </c:pt>
                <c:pt idx="2">
                  <c:v>Finance</c:v>
                </c:pt>
                <c:pt idx="3">
                  <c:v>HR</c:v>
                </c:pt>
                <c:pt idx="4">
                  <c:v>IT</c:v>
                </c:pt>
                <c:pt idx="5">
                  <c:v>Legal</c:v>
                </c:pt>
              </c:strCache>
            </c:strRef>
          </c:cat>
          <c:val>
            <c:numRef>
              <c:f>'Retention Analysis'!$O$2:$O$8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27-469A-8A8E-7C714F167745}"/>
            </c:ext>
          </c:extLst>
        </c:ser>
        <c:ser>
          <c:idx val="2"/>
          <c:order val="2"/>
          <c:tx>
            <c:strRef>
              <c:f>'Retention Analysis'!$P$1</c:f>
              <c:strCache>
                <c:ptCount val="1"/>
                <c:pt idx="0">
                  <c:v>Sum of Employees that Left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'Retention Analysis'!$M$2:$M$8</c:f>
              <c:strCache>
                <c:ptCount val="6"/>
                <c:pt idx="0">
                  <c:v>Admin</c:v>
                </c:pt>
                <c:pt idx="1">
                  <c:v>Business</c:v>
                </c:pt>
                <c:pt idx="2">
                  <c:v>Finance</c:v>
                </c:pt>
                <c:pt idx="3">
                  <c:v>HR</c:v>
                </c:pt>
                <c:pt idx="4">
                  <c:v>IT</c:v>
                </c:pt>
                <c:pt idx="5">
                  <c:v>Legal</c:v>
                </c:pt>
              </c:strCache>
            </c:strRef>
          </c:cat>
          <c:val>
            <c:numRef>
              <c:f>'Retention Analysis'!$P$2:$P$8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3</c:v>
                </c:pt>
                <c:pt idx="4">
                  <c:v>10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27-469A-8A8E-7C714F16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9945792"/>
        <c:axId val="1879946272"/>
      </c:barChart>
      <c:catAx>
        <c:axId val="1879945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946272"/>
        <c:crosses val="autoZero"/>
        <c:auto val="1"/>
        <c:lblAlgn val="ctr"/>
        <c:lblOffset val="100"/>
        <c:noMultiLvlLbl val="0"/>
      </c:catAx>
      <c:valAx>
        <c:axId val="187994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Number of Employees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94579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0</xdr:row>
      <xdr:rowOff>160020</xdr:rowOff>
    </xdr:from>
    <xdr:to>
      <xdr:col>6</xdr:col>
      <xdr:colOff>198120</xdr:colOff>
      <xdr:row>13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A85254-5118-4488-81C8-0AAE7BE3A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144780</xdr:colOff>
      <xdr:row>14</xdr:row>
      <xdr:rowOff>121920</xdr:rowOff>
    </xdr:from>
    <xdr:to>
      <xdr:col>6</xdr:col>
      <xdr:colOff>205740</xdr:colOff>
      <xdr:row>28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0CD1C-14C4-6A5E-B419-0EDC1D6574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</xdr:row>
      <xdr:rowOff>133350</xdr:rowOff>
    </xdr:from>
    <xdr:to>
      <xdr:col>5</xdr:col>
      <xdr:colOff>601980</xdr:colOff>
      <xdr:row>21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3B20CE-F762-DAAD-5EDD-853AFD2B9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ABB280-50F4-4953-9CD6-7FA5E5BAD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na mirecki" refreshedDate="45960.907602083331" createdVersion="8" refreshedVersion="8" minRefreshableVersion="3" recordCount="45" xr:uid="{824957A6-AD19-42E3-A11D-649DB11B6E4B}">
  <cacheSource type="worksheet">
    <worksheetSource name="employee_retention_analysis__version_1__xlsb"/>
  </cacheSource>
  <cacheFields count="115">
    <cacheField name="Employee_ID" numFmtId="0">
      <sharedItems/>
    </cacheField>
    <cacheField name="Name" numFmtId="0">
      <sharedItems/>
    </cacheField>
    <cacheField name="Department" numFmtId="0">
      <sharedItems count="6">
        <s v="IT"/>
        <s v="HR"/>
        <s v="Legal"/>
        <s v="Admin"/>
        <s v="Business"/>
        <s v="Finance"/>
      </sharedItems>
    </cacheField>
    <cacheField name="Job_Title" numFmtId="0">
      <sharedItems/>
    </cacheField>
    <cacheField name="Skills" numFmtId="0">
      <sharedItems/>
    </cacheField>
    <cacheField name="Hire_Date" numFmtId="14">
      <sharedItems containsSemiMixedTypes="0" containsNonDate="0" containsDate="1" containsString="0" minDate="2018-01-01T00:00:00" maxDate="2023-09-20T00:00:00" count="45">
        <d v="2018-07-10T00:00:00"/>
        <d v="2019-04-30T00:00:00"/>
        <d v="2018-02-04T00:00:00"/>
        <d v="2018-04-19T00:00:00"/>
        <d v="2020-01-09T00:00:00"/>
        <d v="2020-03-12T00:00:00"/>
        <d v="2018-05-23T00:00:00"/>
        <d v="2020-09-30T00:00:00"/>
        <d v="2018-01-01T00:00:00"/>
        <d v="2018-11-02T00:00:00"/>
        <d v="2019-03-08T00:00:00"/>
        <d v="2021-07-29T00:00:00"/>
        <d v="2021-09-09T00:00:00"/>
        <d v="2021-10-28T00:00:00"/>
        <d v="2021-12-10T00:00:00"/>
        <d v="2020-04-28T00:00:00"/>
        <d v="2022-07-20T00:00:00"/>
        <d v="2019-01-15T00:00:00"/>
        <d v="2019-08-05T00:00:00"/>
        <d v="2022-12-07T00:00:00"/>
        <d v="2023-01-13T00:00:00"/>
        <d v="2018-04-05T00:00:00"/>
        <d v="2018-09-14T00:00:00"/>
        <d v="2021-02-26T00:00:00"/>
        <d v="2023-06-09T00:00:00"/>
        <d v="2022-01-25T00:00:00"/>
        <d v="2019-06-21T00:00:00"/>
        <d v="2022-10-18T00:00:00"/>
        <d v="2022-06-02T00:00:00"/>
        <d v="2021-01-07T00:00:00"/>
        <d v="2021-06-15T00:00:00"/>
        <d v="2019-12-27T00:00:00"/>
        <d v="2023-02-28T00:00:00"/>
        <d v="2022-04-21T00:00:00"/>
        <d v="2021-04-19T00:00:00"/>
        <d v="2023-09-19T00:00:00"/>
        <d v="2020-08-04T00:00:00"/>
        <d v="2018-12-18T00:00:00"/>
        <d v="2020-06-17T00:00:00"/>
        <d v="2023-08-01T00:00:00"/>
        <d v="2019-10-11T00:00:00"/>
        <d v="2022-03-03T00:00:00"/>
        <d v="2022-08-31T00:00:00"/>
        <d v="2023-04-14T00:00:00"/>
        <d v="2020-11-19T00:00:00"/>
      </sharedItems>
      <fieldGroup par="114"/>
    </cacheField>
    <cacheField name="Onboarding _Duration (Days)" numFmtId="0">
      <sharedItems containsSemiMixedTypes="0" containsString="0" containsNumber="1" containsInteger="1" minValue="15" maxValue="62"/>
    </cacheField>
    <cacheField name="First_Working_Day" numFmtId="14">
      <sharedItems containsSemiMixedTypes="0" containsNonDate="0" containsDate="1" containsString="0" minDate="2018-03-05T00:00:00" maxDate="2022-04-19T00:00:00"/>
    </cacheField>
    <cacheField name="Last_Working_Day" numFmtId="0">
      <sharedItems containsNonDate="0" containsDate="1" containsString="0" containsBlank="1" minDate="2020-03-30T00:00:00" maxDate="2024-12-31T00:00:00"/>
    </cacheField>
    <cacheField name="Tenure (Years, Months)" numFmtId="0">
      <sharedItems/>
    </cacheField>
    <cacheField name="Tenure (Years)" numFmtId="2">
      <sharedItems containsSemiMixedTypes="0" containsString="0" containsNumber="1" minValue="0.32328767123287672" maxValue="6.8082191780821919"/>
    </cacheField>
    <cacheField name="Tenure &lt; 0.5 Years" numFmtId="0">
      <sharedItems/>
    </cacheField>
    <cacheField name="Performance_Score" numFmtId="0">
      <sharedItems containsSemiMixedTypes="0" containsString="0" containsNumber="1" containsInteger="1" minValue="41" maxValue="90"/>
    </cacheField>
    <cacheField name="Training_Hours" numFmtId="0">
      <sharedItems containsSemiMixedTypes="0" containsString="0" containsNumber="1" containsInteger="1" minValue="100" maxValue="260"/>
    </cacheField>
    <cacheField name="Salary" numFmtId="0">
      <sharedItems containsSemiMixedTypes="0" containsString="0" containsNumber="1" containsInteger="1" minValue="31000" maxValue="115000"/>
    </cacheField>
    <cacheField name="Age" numFmtId="0">
      <sharedItems containsSemiMixedTypes="0" containsString="0" containsNumber="1" containsInteger="1" minValue="25" maxValue="46"/>
    </cacheField>
    <cacheField name="Satisfaction" numFmtId="0">
      <sharedItems containsSemiMixedTypes="0" containsString="0" containsNumber="1" containsInteger="1" minValue="6" maxValue="41"/>
    </cacheField>
    <cacheField name="Column1" numFmtId="0">
      <sharedItems containsString="0" containsBlank="1" containsNumber="1" containsInteger="1" minValue="25" maxValue="41"/>
    </cacheField>
    <cacheField name="Column2" numFmtId="0">
      <sharedItems containsString="0" containsBlank="1" containsNumber="1" containsInteger="1" minValue="25" maxValue="41"/>
    </cacheField>
    <cacheField name="Column3" numFmtId="0">
      <sharedItems containsString="0" containsBlank="1" containsNumber="1" containsInteger="1" minValue="25" maxValue="41"/>
    </cacheField>
    <cacheField name="Column4" numFmtId="0">
      <sharedItems containsString="0" containsBlank="1" containsNumber="1" containsInteger="1" minValue="25" maxValue="41"/>
    </cacheField>
    <cacheField name="Column5" numFmtId="0">
      <sharedItems containsString="0" containsBlank="1" containsNumber="1" containsInteger="1" minValue="25" maxValue="41"/>
    </cacheField>
    <cacheField name="Column6" numFmtId="0">
      <sharedItems containsString="0" containsBlank="1" containsNumber="1" containsInteger="1" minValue="25" maxValue="41"/>
    </cacheField>
    <cacheField name="Column7" numFmtId="0">
      <sharedItems containsString="0" containsBlank="1" containsNumber="1" containsInteger="1" minValue="25" maxValue="41"/>
    </cacheField>
    <cacheField name="Column8" numFmtId="0">
      <sharedItems containsString="0" containsBlank="1" containsNumber="1" containsInteger="1" minValue="25" maxValue="41"/>
    </cacheField>
    <cacheField name="Column9" numFmtId="0">
      <sharedItems containsString="0" containsBlank="1" containsNumber="1" containsInteger="1" minValue="25" maxValue="41"/>
    </cacheField>
    <cacheField name="Column10" numFmtId="0">
      <sharedItems containsString="0" containsBlank="1" containsNumber="1" containsInteger="1" minValue="25" maxValue="41"/>
    </cacheField>
    <cacheField name="Column11" numFmtId="0">
      <sharedItems containsString="0" containsBlank="1" containsNumber="1" containsInteger="1" minValue="25" maxValue="41"/>
    </cacheField>
    <cacheField name="Column12" numFmtId="0">
      <sharedItems containsString="0" containsBlank="1" containsNumber="1" containsInteger="1" minValue="25" maxValue="41"/>
    </cacheField>
    <cacheField name="Column13" numFmtId="0">
      <sharedItems containsString="0" containsBlank="1" containsNumber="1" containsInteger="1" minValue="25" maxValue="41"/>
    </cacheField>
    <cacheField name="Column14" numFmtId="0">
      <sharedItems containsString="0" containsBlank="1" containsNumber="1" containsInteger="1" minValue="25" maxValue="41"/>
    </cacheField>
    <cacheField name="Column15" numFmtId="0">
      <sharedItems containsString="0" containsBlank="1" containsNumber="1" containsInteger="1" minValue="25" maxValue="41"/>
    </cacheField>
    <cacheField name="Column16" numFmtId="0">
      <sharedItems containsString="0" containsBlank="1" containsNumber="1" containsInteger="1" minValue="25" maxValue="41"/>
    </cacheField>
    <cacheField name="Column17" numFmtId="0">
      <sharedItems containsString="0" containsBlank="1" containsNumber="1" containsInteger="1" minValue="25" maxValue="41"/>
    </cacheField>
    <cacheField name="Column18" numFmtId="0">
      <sharedItems containsString="0" containsBlank="1" containsNumber="1" containsInteger="1" minValue="25" maxValue="41"/>
    </cacheField>
    <cacheField name="Column19" numFmtId="0">
      <sharedItems containsString="0" containsBlank="1" containsNumber="1" containsInteger="1" minValue="25" maxValue="41"/>
    </cacheField>
    <cacheField name="Column20" numFmtId="0">
      <sharedItems containsString="0" containsBlank="1" containsNumber="1" containsInteger="1" minValue="25" maxValue="41"/>
    </cacheField>
    <cacheField name="Column21" numFmtId="0">
      <sharedItems containsString="0" containsBlank="1" containsNumber="1" containsInteger="1" minValue="25" maxValue="41"/>
    </cacheField>
    <cacheField name="Column22" numFmtId="0">
      <sharedItems containsString="0" containsBlank="1" containsNumber="1" containsInteger="1" minValue="25" maxValue="41"/>
    </cacheField>
    <cacheField name="Column23" numFmtId="0">
      <sharedItems containsString="0" containsBlank="1" containsNumber="1" containsInteger="1" minValue="25" maxValue="41"/>
    </cacheField>
    <cacheField name="Column24" numFmtId="0">
      <sharedItems containsString="0" containsBlank="1" containsNumber="1" containsInteger="1" minValue="25" maxValue="41"/>
    </cacheField>
    <cacheField name="Column25" numFmtId="0">
      <sharedItems containsString="0" containsBlank="1" containsNumber="1" containsInteger="1" minValue="25" maxValue="41"/>
    </cacheField>
    <cacheField name="Column26" numFmtId="0">
      <sharedItems containsString="0" containsBlank="1" containsNumber="1" containsInteger="1" minValue="25" maxValue="41"/>
    </cacheField>
    <cacheField name="Column27" numFmtId="0">
      <sharedItems containsString="0" containsBlank="1" containsNumber="1" containsInteger="1" minValue="25" maxValue="41"/>
    </cacheField>
    <cacheField name="Column28" numFmtId="0">
      <sharedItems containsString="0" containsBlank="1" containsNumber="1" containsInteger="1" minValue="25" maxValue="41"/>
    </cacheField>
    <cacheField name="Column29" numFmtId="0">
      <sharedItems containsString="0" containsBlank="1" containsNumber="1" containsInteger="1" minValue="25" maxValue="41"/>
    </cacheField>
    <cacheField name="Column30" numFmtId="0">
      <sharedItems containsString="0" containsBlank="1" containsNumber="1" containsInteger="1" minValue="25" maxValue="41"/>
    </cacheField>
    <cacheField name="Column31" numFmtId="0">
      <sharedItems containsString="0" containsBlank="1" containsNumber="1" containsInteger="1" minValue="25" maxValue="41"/>
    </cacheField>
    <cacheField name="Column32" numFmtId="0">
      <sharedItems containsString="0" containsBlank="1" containsNumber="1" containsInteger="1" minValue="25" maxValue="41"/>
    </cacheField>
    <cacheField name="Column33" numFmtId="0">
      <sharedItems containsString="0" containsBlank="1" containsNumber="1" containsInteger="1" minValue="25" maxValue="41"/>
    </cacheField>
    <cacheField name="Column34" numFmtId="0">
      <sharedItems containsString="0" containsBlank="1" containsNumber="1" containsInteger="1" minValue="25" maxValue="41"/>
    </cacheField>
    <cacheField name="Column35" numFmtId="0">
      <sharedItems containsString="0" containsBlank="1" containsNumber="1" containsInteger="1" minValue="25" maxValue="41"/>
    </cacheField>
    <cacheField name="Column36" numFmtId="0">
      <sharedItems containsString="0" containsBlank="1" containsNumber="1" containsInteger="1" minValue="25" maxValue="41"/>
    </cacheField>
    <cacheField name="Column37" numFmtId="0">
      <sharedItems containsString="0" containsBlank="1" containsNumber="1" containsInteger="1" minValue="25" maxValue="41"/>
    </cacheField>
    <cacheField name="Column38" numFmtId="0">
      <sharedItems containsString="0" containsBlank="1" containsNumber="1" containsInteger="1" minValue="25" maxValue="41"/>
    </cacheField>
    <cacheField name="Column39" numFmtId="0">
      <sharedItems containsString="0" containsBlank="1" containsNumber="1" containsInteger="1" minValue="25" maxValue="41"/>
    </cacheField>
    <cacheField name="Column40" numFmtId="0">
      <sharedItems containsString="0" containsBlank="1" containsNumber="1" containsInteger="1" minValue="25" maxValue="41"/>
    </cacheField>
    <cacheField name="Column41" numFmtId="0">
      <sharedItems containsString="0" containsBlank="1" containsNumber="1" containsInteger="1" minValue="25" maxValue="41"/>
    </cacheField>
    <cacheField name="Column42" numFmtId="0">
      <sharedItems containsString="0" containsBlank="1" containsNumber="1" containsInteger="1" minValue="25" maxValue="41"/>
    </cacheField>
    <cacheField name="Column43" numFmtId="0">
      <sharedItems containsString="0" containsBlank="1" containsNumber="1" containsInteger="1" minValue="25" maxValue="41"/>
    </cacheField>
    <cacheField name="Column44" numFmtId="0">
      <sharedItems containsString="0" containsBlank="1" containsNumber="1" containsInteger="1" minValue="25" maxValue="41"/>
    </cacheField>
    <cacheField name="Column45" numFmtId="0">
      <sharedItems containsString="0" containsBlank="1" containsNumber="1" containsInteger="1" minValue="25" maxValue="41"/>
    </cacheField>
    <cacheField name="Column46" numFmtId="0">
      <sharedItems containsString="0" containsBlank="1" containsNumber="1" containsInteger="1" minValue="25" maxValue="41"/>
    </cacheField>
    <cacheField name="Column47" numFmtId="0">
      <sharedItems containsString="0" containsBlank="1" containsNumber="1" containsInteger="1" minValue="25" maxValue="41"/>
    </cacheField>
    <cacheField name="Column48" numFmtId="0">
      <sharedItems containsString="0" containsBlank="1" containsNumber="1" containsInteger="1" minValue="25" maxValue="41"/>
    </cacheField>
    <cacheField name="Column49" numFmtId="0">
      <sharedItems containsString="0" containsBlank="1" containsNumber="1" containsInteger="1" minValue="25" maxValue="41"/>
    </cacheField>
    <cacheField name="Column50" numFmtId="0">
      <sharedItems containsString="0" containsBlank="1" containsNumber="1" containsInteger="1" minValue="25" maxValue="41"/>
    </cacheField>
    <cacheField name="Column51" numFmtId="0">
      <sharedItems containsString="0" containsBlank="1" containsNumber="1" containsInteger="1" minValue="25" maxValue="41"/>
    </cacheField>
    <cacheField name="Column52" numFmtId="0">
      <sharedItems containsString="0" containsBlank="1" containsNumber="1" containsInteger="1" minValue="25" maxValue="41"/>
    </cacheField>
    <cacheField name="Column53" numFmtId="0">
      <sharedItems containsString="0" containsBlank="1" containsNumber="1" containsInteger="1" minValue="25" maxValue="41"/>
    </cacheField>
    <cacheField name="Column54" numFmtId="0">
      <sharedItems containsString="0" containsBlank="1" containsNumber="1" containsInteger="1" minValue="25" maxValue="41"/>
    </cacheField>
    <cacheField name="Column55" numFmtId="0">
      <sharedItems containsString="0" containsBlank="1" containsNumber="1" containsInteger="1" minValue="25" maxValue="41"/>
    </cacheField>
    <cacheField name="Column56" numFmtId="0">
      <sharedItems containsString="0" containsBlank="1" containsNumber="1" containsInteger="1" minValue="25" maxValue="41"/>
    </cacheField>
    <cacheField name="Column57" numFmtId="0">
      <sharedItems containsString="0" containsBlank="1" containsNumber="1" containsInteger="1" minValue="25" maxValue="41"/>
    </cacheField>
    <cacheField name="Column58" numFmtId="0">
      <sharedItems containsString="0" containsBlank="1" containsNumber="1" containsInteger="1" minValue="25" maxValue="41"/>
    </cacheField>
    <cacheField name="Column59" numFmtId="0">
      <sharedItems containsString="0" containsBlank="1" containsNumber="1" containsInteger="1" minValue="25" maxValue="41"/>
    </cacheField>
    <cacheField name="Column60" numFmtId="0">
      <sharedItems containsString="0" containsBlank="1" containsNumber="1" containsInteger="1" minValue="25" maxValue="41"/>
    </cacheField>
    <cacheField name="Column61" numFmtId="0">
      <sharedItems containsString="0" containsBlank="1" containsNumber="1" containsInteger="1" minValue="25" maxValue="41"/>
    </cacheField>
    <cacheField name="Column62" numFmtId="0">
      <sharedItems containsString="0" containsBlank="1" containsNumber="1" containsInteger="1" minValue="25" maxValue="41"/>
    </cacheField>
    <cacheField name="Column63" numFmtId="0">
      <sharedItems containsString="0" containsBlank="1" containsNumber="1" containsInteger="1" minValue="25" maxValue="41"/>
    </cacheField>
    <cacheField name="Column64" numFmtId="0">
      <sharedItems containsString="0" containsBlank="1" containsNumber="1" containsInteger="1" minValue="25" maxValue="41"/>
    </cacheField>
    <cacheField name="Column65" numFmtId="0">
      <sharedItems containsString="0" containsBlank="1" containsNumber="1" containsInteger="1" minValue="25" maxValue="41"/>
    </cacheField>
    <cacheField name="Column66" numFmtId="0">
      <sharedItems containsString="0" containsBlank="1" containsNumber="1" containsInteger="1" minValue="25" maxValue="41"/>
    </cacheField>
    <cacheField name="Column67" numFmtId="0">
      <sharedItems containsString="0" containsBlank="1" containsNumber="1" containsInteger="1" minValue="25" maxValue="41"/>
    </cacheField>
    <cacheField name="Column68" numFmtId="0">
      <sharedItems containsString="0" containsBlank="1" containsNumber="1" containsInteger="1" minValue="25" maxValue="41"/>
    </cacheField>
    <cacheField name="Column69" numFmtId="0">
      <sharedItems containsString="0" containsBlank="1" containsNumber="1" containsInteger="1" minValue="25" maxValue="41"/>
    </cacheField>
    <cacheField name="Column70" numFmtId="0">
      <sharedItems containsString="0" containsBlank="1" containsNumber="1" containsInteger="1" minValue="25" maxValue="41"/>
    </cacheField>
    <cacheField name="Column71" numFmtId="0">
      <sharedItems containsString="0" containsBlank="1" containsNumber="1" containsInteger="1" minValue="25" maxValue="41"/>
    </cacheField>
    <cacheField name="Column72" numFmtId="0">
      <sharedItems containsString="0" containsBlank="1" containsNumber="1" containsInteger="1" minValue="25" maxValue="41"/>
    </cacheField>
    <cacheField name="Column73" numFmtId="0">
      <sharedItems containsString="0" containsBlank="1" containsNumber="1" containsInteger="1" minValue="25" maxValue="41"/>
    </cacheField>
    <cacheField name="Column74" numFmtId="0">
      <sharedItems containsString="0" containsBlank="1" containsNumber="1" containsInteger="1" minValue="25" maxValue="41"/>
    </cacheField>
    <cacheField name="Column75" numFmtId="0">
      <sharedItems containsString="0" containsBlank="1" containsNumber="1" containsInteger="1" minValue="25" maxValue="41"/>
    </cacheField>
    <cacheField name="Column76" numFmtId="0">
      <sharedItems containsString="0" containsBlank="1" containsNumber="1" containsInteger="1" minValue="25" maxValue="41"/>
    </cacheField>
    <cacheField name="Column77" numFmtId="0">
      <sharedItems containsString="0" containsBlank="1" containsNumber="1" containsInteger="1" minValue="25" maxValue="41"/>
    </cacheField>
    <cacheField name="Column78" numFmtId="0">
      <sharedItems containsString="0" containsBlank="1" containsNumber="1" containsInteger="1" minValue="25" maxValue="41"/>
    </cacheField>
    <cacheField name="Column79" numFmtId="0">
      <sharedItems containsString="0" containsBlank="1" containsNumber="1" containsInteger="1" minValue="25" maxValue="41"/>
    </cacheField>
    <cacheField name="Column80" numFmtId="0">
      <sharedItems containsString="0" containsBlank="1" containsNumber="1" containsInteger="1" minValue="25" maxValue="41"/>
    </cacheField>
    <cacheField name="Column81" numFmtId="0">
      <sharedItems containsString="0" containsBlank="1" containsNumber="1" containsInteger="1" minValue="25" maxValue="41"/>
    </cacheField>
    <cacheField name="Column82" numFmtId="0">
      <sharedItems containsString="0" containsBlank="1" containsNumber="1" containsInteger="1" minValue="25" maxValue="41"/>
    </cacheField>
    <cacheField name="Column83" numFmtId="0">
      <sharedItems containsString="0" containsBlank="1" containsNumber="1" containsInteger="1" minValue="25" maxValue="41"/>
    </cacheField>
    <cacheField name="Column84" numFmtId="0">
      <sharedItems containsString="0" containsBlank="1" containsNumber="1" containsInteger="1" minValue="25" maxValue="41"/>
    </cacheField>
    <cacheField name="Column85" numFmtId="0">
      <sharedItems containsString="0" containsBlank="1" containsNumber="1" containsInteger="1" minValue="25" maxValue="41"/>
    </cacheField>
    <cacheField name="Column86" numFmtId="0">
      <sharedItems containsString="0" containsBlank="1" containsNumber="1" containsInteger="1" minValue="25" maxValue="41"/>
    </cacheField>
    <cacheField name="Column87" numFmtId="0">
      <sharedItems containsString="0" containsBlank="1" containsNumber="1" containsInteger="1" minValue="25" maxValue="41"/>
    </cacheField>
    <cacheField name="Column88" numFmtId="0">
      <sharedItems containsString="0" containsBlank="1" containsNumber="1" containsInteger="1" minValue="25" maxValue="41"/>
    </cacheField>
    <cacheField name="Column89" numFmtId="0">
      <sharedItems containsString="0" containsBlank="1" containsNumber="1" containsInteger="1" minValue="25" maxValue="41"/>
    </cacheField>
    <cacheField name="Column90" numFmtId="0">
      <sharedItems containsString="0" containsBlank="1" containsNumber="1" containsInteger="1" minValue="25" maxValue="41"/>
    </cacheField>
    <cacheField name="Status" numFmtId="0">
      <sharedItems containsBlank="1" count="4">
        <s v="Active"/>
        <s v="Not Active"/>
        <m u="1"/>
        <s v=" Active " u="1"/>
      </sharedItems>
    </cacheField>
    <cacheField name="Stay_Flag" numFmtId="0">
      <sharedItems containsSemiMixedTypes="0" containsString="0" containsNumber="1" containsInteger="1" minValue="0" maxValue="1" count="2">
        <n v="1"/>
        <n v="0"/>
      </sharedItems>
    </cacheField>
    <cacheField name="Leave_flag" numFmtId="0">
      <sharedItems containsSemiMixedTypes="0" containsString="0" containsNumber="1" containsInteger="1" minValue="0" maxValue="1"/>
    </cacheField>
    <cacheField name="Month_Year" numFmtId="0">
      <sharedItems count="31">
        <s v="Jul 2018"/>
        <s v="Apr 2019"/>
        <s v="Aug 2024"/>
        <s v="Apr 2018"/>
        <s v="Jan 2020"/>
        <s v="Mar 2020"/>
        <s v="May 2024"/>
        <s v="Sep 2020"/>
        <s v="Jun 2023"/>
        <s v="Jun 2024"/>
        <s v="Jul 2021"/>
        <s v="Sep 2021"/>
        <s v="Oct 2021"/>
        <s v="Dec 2021"/>
        <s v="Jul 2022"/>
        <s v="Sep 2023"/>
        <s v="Nov 2023"/>
        <s v="Dec 2022"/>
        <s v="Jan 2023"/>
        <s v="Sep 2022"/>
        <s v="Sep 2024"/>
        <s v="Dec 2024"/>
        <s v="Jul 2023"/>
        <s v="Oct 2022"/>
        <s v="Oct 2023"/>
        <s v="Nov 2022"/>
        <s v="May 2022"/>
        <s v="Feb 2021"/>
        <s v="Dec 2023"/>
        <s v="May 2021"/>
        <s v="Oct 2020"/>
      </sharedItems>
    </cacheField>
    <cacheField name="% Employees Actice" numFmtId="0" formula="#NAME? /Employee_ID" databaseField="0"/>
    <cacheField name="Months (Hire_Date)" numFmtId="0" databaseField="0">
      <fieldGroup base="5">
        <rangePr groupBy="months" startDate="2018-01-01T00:00:00" endDate="2023-09-20T00:00:00"/>
        <groupItems count="14">
          <s v="&lt;1/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20/2023"/>
        </groupItems>
      </fieldGroup>
    </cacheField>
    <cacheField name="Quarters (Hire_Date)" numFmtId="0" databaseField="0">
      <fieldGroup base="5">
        <rangePr groupBy="quarters" startDate="2018-01-01T00:00:00" endDate="2023-09-20T00:00:00"/>
        <groupItems count="6">
          <s v="&lt;1/1/2018"/>
          <s v="Qtr1"/>
          <s v="Qtr2"/>
          <s v="Qtr3"/>
          <s v="Qtr4"/>
          <s v="&gt;9/20/2023"/>
        </groupItems>
      </fieldGroup>
    </cacheField>
    <cacheField name="Years (Hire_Date)" numFmtId="0" databaseField="0">
      <fieldGroup base="5">
        <rangePr groupBy="years" startDate="2018-01-01T00:00:00" endDate="2023-09-20T00:00:00"/>
        <groupItems count="8">
          <s v="&lt;1/1/2018"/>
          <s v="2018"/>
          <s v="2019"/>
          <s v="2020"/>
          <s v="2021"/>
          <s v="2022"/>
          <s v="2023"/>
          <s v="&gt;9/20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E006"/>
    <s v="Frank Johnson"/>
    <x v="0"/>
    <s v="SOC Analyst"/>
    <s v="Splunk, SIEM, Threat Detection, Python"/>
    <x v="0"/>
    <n v="60"/>
    <d v="2019-01-10T00:00:00"/>
    <m/>
    <s v="6 years 9 months"/>
    <n v="6.8082191780821919"/>
    <s v="No"/>
    <n v="90"/>
    <n v="210"/>
    <n v="11500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x v="0"/>
    <x v="0"/>
    <n v="0"/>
    <x v="0"/>
  </r>
  <r>
    <s v="E012"/>
    <s v="Liam Hughes"/>
    <x v="0"/>
    <s v="Network Engineer"/>
    <s v="Cisco IOS, Network Security, Routing, Switching"/>
    <x v="1"/>
    <n v="40"/>
    <d v="2019-07-14T00:00:00"/>
    <m/>
    <s v="6 years 3 months"/>
    <n v="6.3013698630136989"/>
    <s v="No"/>
    <n v="85"/>
    <n v="140"/>
    <n v="11200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x v="0"/>
    <x v="0"/>
    <n v="0"/>
    <x v="1"/>
  </r>
  <r>
    <s v="E002"/>
    <s v="Brian Lee"/>
    <x v="0"/>
    <s v="Cybersecurity Engineer"/>
    <s v="Cisco IOS, VPNs, Firewalls, Wireshark"/>
    <x v="2"/>
    <n v="30"/>
    <d v="2018-06-18T00:00:00"/>
    <d v="2024-08-20T00:00:00"/>
    <s v="6 years 2 months"/>
    <n v="6.1780821917808222"/>
    <s v="No"/>
    <n v="70"/>
    <n v="160"/>
    <n v="110000"/>
    <n v="33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"/>
  </r>
  <r>
    <s v="E003"/>
    <s v="Carla Ruiz"/>
    <x v="1"/>
    <s v="HR Specialist"/>
    <s v="HRIS, Excel, Communication, Interviewing"/>
    <x v="3"/>
    <n v="25"/>
    <d v="2019-09-22T00:00:00"/>
    <m/>
    <s v="6 years 1 months"/>
    <n v="6.1095890410958908"/>
    <s v="No"/>
    <n v="75"/>
    <n v="140"/>
    <n v="108000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n v="31"/>
    <x v="0"/>
    <x v="0"/>
    <n v="0"/>
    <x v="3"/>
  </r>
  <r>
    <s v="E017"/>
    <s v="Quinn Lopez"/>
    <x v="0"/>
    <s v="Software Developer"/>
    <s v="JavaScript, Python, Git, Agile"/>
    <x v="4"/>
    <n v="60"/>
    <d v="2019-12-20T00:00:00"/>
    <m/>
    <s v="5 years 10 months"/>
    <n v="5.8657534246575347"/>
    <s v="No"/>
    <n v="83"/>
    <n v="260"/>
    <n v="105000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x v="0"/>
    <x v="0"/>
    <n v="0"/>
    <x v="4"/>
  </r>
  <r>
    <s v="E018"/>
    <s v="Rachel Scott"/>
    <x v="2"/>
    <s v="Paralegal"/>
    <s v="Legal Drafting, Research, MS Word, Organization"/>
    <x v="5"/>
    <n v="33"/>
    <d v="2020-01-05T00:00:00"/>
    <m/>
    <s v="5 years 9 months"/>
    <n v="5.8219178082191778"/>
    <s v="No"/>
    <n v="58"/>
    <n v="170"/>
    <n v="40000"/>
    <n v="34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"/>
    <x v="5"/>
  </r>
  <r>
    <s v="E005"/>
    <s v="Emma Brown"/>
    <x v="3"/>
    <s v="Receptionist"/>
    <s v="Scheduling, Outlook, Customer Service"/>
    <x v="6"/>
    <n v="15"/>
    <d v="2018-12-01T00:00:00"/>
    <d v="2024-05-25T00:00:00"/>
    <s v="5 years 5 months"/>
    <n v="5.484931506849315"/>
    <s v="No"/>
    <n v="68"/>
    <n v="100"/>
    <n v="104000"/>
    <n v="26"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6"/>
  </r>
  <r>
    <s v="E022"/>
    <s v="Victor Perez"/>
    <x v="4"/>
    <s v="Market Analyst"/>
    <s v="Excel, Market Research, PowerPoint, Reporting"/>
    <x v="7"/>
    <n v="35"/>
    <d v="2020-05-30T00:00:00"/>
    <m/>
    <s v="5 years 5 months"/>
    <n v="5.4219178082191783"/>
    <s v="No"/>
    <n v="74"/>
    <n v="180"/>
    <n v="103000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n v="36"/>
    <x v="0"/>
    <x v="0"/>
    <n v="0"/>
    <x v="7"/>
  </r>
  <r>
    <s v="E001"/>
    <s v="Alice Carter"/>
    <x v="0"/>
    <s v="Software Developer"/>
    <s v="Python, SQL, Excel, Git"/>
    <x v="8"/>
    <n v="45"/>
    <d v="2018-03-05T00:00:00"/>
    <d v="2023-06-30T00:00:00"/>
    <s v="5 years 3 months"/>
    <n v="5.3232876712328769"/>
    <s v="No"/>
    <n v="57"/>
    <n v="180"/>
    <n v="102000"/>
    <n v="4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8"/>
  </r>
  <r>
    <s v="E008"/>
    <s v="Henry Adams"/>
    <x v="0"/>
    <s v="Software Developer"/>
    <s v="Java, Python, Cloud, Git"/>
    <x v="9"/>
    <n v="55"/>
    <d v="2019-03-12T00:00:00"/>
    <d v="2024-06-15T00:00:00"/>
    <s v="5 years 3 months"/>
    <n v="5.2657534246575342"/>
    <s v="No"/>
    <n v="70"/>
    <n v="240"/>
    <n v="100000"/>
    <n v="36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9"/>
  </r>
  <r>
    <s v="E011"/>
    <s v="Karen Evans"/>
    <x v="3"/>
    <s v="Office Manager"/>
    <s v="Scheduling, Budgeting, Excel, Office Management"/>
    <x v="10"/>
    <n v="20"/>
    <d v="2019-06-05T00:00:00"/>
    <d v="2020-03-30T00:00:00"/>
    <s v="9 months"/>
    <n v="0.81917808219178079"/>
    <s v="No"/>
    <n v="66"/>
    <n v="150"/>
    <n v="92000"/>
    <n v="38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5"/>
  </r>
  <r>
    <s v="E028"/>
    <s v="Ben Torres"/>
    <x v="0"/>
    <s v="SOC Analyst"/>
    <s v="SIEM, Network Logs, Splunk, Threat Detection"/>
    <x v="11"/>
    <n v="62"/>
    <d v="2020-11-10T00:00:00"/>
    <m/>
    <s v="4 years 11 months"/>
    <n v="4.9726027397260273"/>
    <s v="No"/>
    <n v="81"/>
    <n v="220"/>
    <n v="9500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x v="0"/>
    <x v="0"/>
    <n v="0"/>
    <x v="10"/>
  </r>
  <r>
    <s v="E029"/>
    <s v="Chloe Murphy"/>
    <x v="3"/>
    <s v="Office Manager"/>
    <s v="Excel, Scheduling, Communication, Time Management"/>
    <x v="12"/>
    <n v="22"/>
    <d v="2020-12-15T00:00:00"/>
    <m/>
    <s v="4 years 10 months"/>
    <n v="4.8767123287671232"/>
    <s v="No"/>
    <n v="67"/>
    <n v="160"/>
    <n v="75000"/>
    <n v="37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"/>
    <x v="11"/>
  </r>
  <r>
    <s v="E030"/>
    <s v="David Cook"/>
    <x v="5"/>
    <s v="Financial Analyst"/>
    <s v="Excel, Forecasting, Finance, Reporting"/>
    <x v="13"/>
    <n v="36"/>
    <d v="2021-01-10T00:00:00"/>
    <m/>
    <s v="4 years 9 months"/>
    <n v="4.8054794520547945"/>
    <s v="No"/>
    <n v="50"/>
    <n v="230"/>
    <n v="90000"/>
    <n v="38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"/>
    <x v="12"/>
  </r>
  <r>
    <s v="E031"/>
    <s v="Elena Shaw"/>
    <x v="2"/>
    <s v="Legal Counsel"/>
    <s v="Legal Policy, Documentation, Drafting, Compliance"/>
    <x v="14"/>
    <n v="50"/>
    <d v="2021-02-28T00:00:00"/>
    <m/>
    <s v="4 years 8 months"/>
    <n v="4.6712328767123283"/>
    <s v="No"/>
    <n v="66"/>
    <n v="250"/>
    <n v="65000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n v="41"/>
    <x v="0"/>
    <x v="0"/>
    <n v="0"/>
    <x v="13"/>
  </r>
  <r>
    <s v="E019"/>
    <s v="Samuel King"/>
    <x v="5"/>
    <s v="Financial Analyst"/>
    <s v="Excel, Forecasting, Financial Modeling, Power BI"/>
    <x v="15"/>
    <n v="38"/>
    <d v="2020-02-20T00:00:00"/>
    <d v="2024-08-30T00:00:00"/>
    <s v="4 years 6 months"/>
    <n v="4.5287671232876709"/>
    <s v="No"/>
    <n v="68"/>
    <n v="200"/>
    <n v="69000"/>
    <n v="3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"/>
  </r>
  <r>
    <s v="E036"/>
    <s v="Jason Lee"/>
    <x v="3"/>
    <s v="Secretary"/>
    <s v="Word, Scheduling, Outlook, Customer Service"/>
    <x v="16"/>
    <n v="18"/>
    <d v="2021-07-10T00:00:00"/>
    <m/>
    <s v="4 years 3 months"/>
    <n v="4.3095890410958901"/>
    <s v="No"/>
    <n v="55"/>
    <n v="130"/>
    <n v="91000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x v="0"/>
    <x v="0"/>
    <n v="0"/>
    <x v="14"/>
  </r>
  <r>
    <s v="E010"/>
    <s v="Jack Wilson"/>
    <x v="4"/>
    <s v="Business Analyst"/>
    <s v="Power BI, SQL, Data Modeling, Communication"/>
    <x v="17"/>
    <n v="25"/>
    <d v="2019-05-18T00:00:00"/>
    <d v="2023-09-05T00:00:00"/>
    <s v="4 years 3 months"/>
    <n v="4.3041095890410963"/>
    <s v="No"/>
    <n v="61"/>
    <n v="160"/>
    <n v="88000"/>
    <n v="34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5"/>
  </r>
  <r>
    <s v="E014"/>
    <s v="Noah Green"/>
    <x v="0"/>
    <s v="SOC Analyst"/>
    <s v="Splunk, Threat Analysis, SIEM, Linux"/>
    <x v="18"/>
    <n v="50"/>
    <d v="2019-09-02T00:00:00"/>
    <d v="2023-11-22T00:00:00"/>
    <s v="4 years 2 months"/>
    <n v="4.2246575342465755"/>
    <s v="Yes"/>
    <n v="78"/>
    <n v="190"/>
    <n v="87000"/>
    <n v="31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6"/>
  </r>
  <r>
    <s v="E039"/>
    <s v="Mia Hernandez"/>
    <x v="1"/>
    <s v="HR Assistant"/>
    <s v="HRIS, Payroll, Excel, Onboarding"/>
    <x v="19"/>
    <n v="22"/>
    <d v="2021-10-12T00:00:00"/>
    <m/>
    <s v="4 years "/>
    <n v="4.0520547945205481"/>
    <s v="No"/>
    <n v="52"/>
    <n v="140"/>
    <n v="49000"/>
    <n v="27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"/>
    <x v="17"/>
  </r>
  <r>
    <s v="E040"/>
    <s v="Nate Brooks"/>
    <x v="4"/>
    <s v="Business Analyst"/>
    <s v="Excel, SQL, Reporting, Communication"/>
    <x v="20"/>
    <n v="30"/>
    <d v="2021-11-18T00:00:00"/>
    <m/>
    <s v="3 years 11 months"/>
    <n v="3.9506849315068493"/>
    <s v="Yes"/>
    <n v="51"/>
    <n v="150"/>
    <n v="40000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x v="0"/>
    <x v="0"/>
    <n v="0"/>
    <x v="18"/>
  </r>
  <r>
    <s v="E004"/>
    <s v="Daniel Wright"/>
    <x v="5"/>
    <s v="Accountant"/>
    <s v="Excel, QuickBooks, Tax Prep, Forecasting"/>
    <x v="21"/>
    <n v="40"/>
    <d v="2018-10-05T00:00:00"/>
    <d v="2022-09-10T00:00:00"/>
    <s v="3 years 11 months"/>
    <n v="3.9342465753424656"/>
    <s v="No"/>
    <n v="52"/>
    <n v="200"/>
    <n v="87000"/>
    <n v="35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9"/>
  </r>
  <r>
    <s v="E007"/>
    <s v="Grace Kim"/>
    <x v="2"/>
    <s v="Legal Assistant"/>
    <s v="Legal Research, Documentation, MS Word, Compliance"/>
    <x v="22"/>
    <n v="28"/>
    <d v="2019-02-05T00:00:00"/>
    <d v="2022-12-10T00:00:00"/>
    <s v="3 years 10 months"/>
    <n v="3.8465753424657536"/>
    <s v="Yes"/>
    <n v="72"/>
    <n v="130"/>
    <n v="85000"/>
    <n v="30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7"/>
  </r>
  <r>
    <s v="E025"/>
    <s v="Yolanda Brooks"/>
    <x v="2"/>
    <s v="Legal Assistant"/>
    <s v="Legal Research, Documentation, MS Word, Compliance"/>
    <x v="23"/>
    <n v="30"/>
    <d v="2020-08-12T00:00:00"/>
    <d v="2024-06-12T00:00:00"/>
    <s v="3 years 10 months"/>
    <n v="3.8356164383561642"/>
    <s v="No"/>
    <n v="56"/>
    <n v="150"/>
    <n v="83000"/>
    <n v="29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9"/>
  </r>
  <r>
    <s v="E043"/>
    <s v="Quinn Parker"/>
    <x v="3"/>
    <s v="Receptionist"/>
    <s v="Outlook, Scheduling, Communication"/>
    <x v="24"/>
    <n v="15"/>
    <d v="2022-02-20T00:00:00"/>
    <m/>
    <s v="3 years 8 months"/>
    <n v="3.6931506849315068"/>
    <s v="Yes"/>
    <n v="60"/>
    <n v="110"/>
    <n v="8000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x v="0"/>
    <x v="0"/>
    <n v="0"/>
    <x v="8"/>
  </r>
  <r>
    <s v="E032"/>
    <s v="Felix Rivera"/>
    <x v="0"/>
    <s v="Network Engineer"/>
    <s v="Cisco IOS, Network Design, Firewalls, Python"/>
    <x v="25"/>
    <n v="35"/>
    <d v="2021-03-12T00:00:00"/>
    <d v="2024-09-18T00:00:00"/>
    <s v="3 years 6 months"/>
    <n v="3.5232876712328767"/>
    <s v="No"/>
    <n v="76"/>
    <n v="130"/>
    <n v="80000"/>
    <n v="29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0"/>
  </r>
  <r>
    <s v="E013"/>
    <s v="Monica Diaz"/>
    <x v="1"/>
    <s v="Recruiter"/>
    <s v="HRIS, Recruiting, Communication, Excel"/>
    <x v="26"/>
    <n v="32"/>
    <d v="2019-08-08T00:00:00"/>
    <d v="2022-12-12T00:00:00"/>
    <s v="3 years 4 months"/>
    <n v="3.3479452054794518"/>
    <s v="No"/>
    <n v="50"/>
    <n v="150"/>
    <n v="78000"/>
    <n v="46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7"/>
  </r>
  <r>
    <s v="E038"/>
    <s v="Leo White"/>
    <x v="0"/>
    <s v="SOC Analyst"/>
    <s v="Threat Hunting, SIEM, Python, Splunk"/>
    <x v="27"/>
    <n v="55"/>
    <d v="2021-09-05T00:00:00"/>
    <d v="2024-12-30T00:00:00"/>
    <s v="3 years 3 months"/>
    <n v="3.3205479452054796"/>
    <s v="Yes"/>
    <n v="64"/>
    <n v="190"/>
    <n v="77000"/>
    <n v="28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1"/>
  </r>
  <r>
    <s v="E035"/>
    <s v="Isabella Price"/>
    <x v="0"/>
    <s v="Software Developer"/>
    <s v="Python, Java, API Integration, Git"/>
    <x v="28"/>
    <n v="58"/>
    <d v="2021-06-18T00:00:00"/>
    <d v="2024-08-18T00:00:00"/>
    <s v="3 years 2 months"/>
    <n v="3.1698630136986301"/>
    <s v="No"/>
    <n v="58"/>
    <n v="210"/>
    <n v="73000"/>
    <n v="28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"/>
  </r>
  <r>
    <s v="E024"/>
    <s v="Xavier James"/>
    <x v="5"/>
    <s v="Accountant"/>
    <s v="Accounting, Excel, Forecasting, SAP"/>
    <x v="29"/>
    <n v="45"/>
    <d v="2020-07-08T00:00:00"/>
    <d v="2023-07-25T00:00:00"/>
    <s v="3 years "/>
    <n v="3.0465753424657533"/>
    <s v="No"/>
    <n v="62"/>
    <n v="220"/>
    <n v="72000"/>
    <n v="35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2"/>
  </r>
  <r>
    <s v="E027"/>
    <s v="Amy Foster"/>
    <x v="4"/>
    <s v="Business Analyst"/>
    <s v="Power BI, SQL, Excel, Stakeholder Communication"/>
    <x v="30"/>
    <n v="20"/>
    <d v="2020-10-20T00:00:00"/>
    <d v="2023-09-20T00:00:00"/>
    <s v="2 years 11 months"/>
    <n v="2.9178082191780823"/>
    <s v="No"/>
    <n v="73"/>
    <n v="170"/>
    <n v="70000"/>
    <n v="34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5"/>
  </r>
  <r>
    <s v="E016"/>
    <s v="Paul Baker"/>
    <x v="4"/>
    <s v="Business Analyst"/>
    <s v="Excel, SQL, Data Analysis, Power BI"/>
    <x v="31"/>
    <n v="45"/>
    <d v="2019-11-15T00:00:00"/>
    <d v="2022-10-01T00:00:00"/>
    <s v="2 years 10 months"/>
    <n v="2.8794520547945206"/>
    <s v="No"/>
    <n v="63"/>
    <n v="180"/>
    <n v="68000"/>
    <n v="41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3"/>
  </r>
  <r>
    <s v="E041"/>
    <s v="Olivia James"/>
    <x v="2"/>
    <s v="Paralegal"/>
    <s v="Legal Research, Drafting, Documentation, Compliance"/>
    <x v="32"/>
    <n v="32"/>
    <d v="2021-12-08T00:00:00"/>
    <d v="2024-08-15T00:00:00"/>
    <s v="2 years 8 months"/>
    <n v="2.6876712328767125"/>
    <s v="No"/>
    <n v="50"/>
    <n v="200"/>
    <n v="67000"/>
    <n v="35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"/>
  </r>
  <r>
    <s v="E034"/>
    <s v="Howard Allen"/>
    <x v="4"/>
    <s v="Data Analyst"/>
    <s v="Excel, Python, SQL, Data Visualization"/>
    <x v="33"/>
    <n v="40"/>
    <d v="2021-05-05T00:00:00"/>
    <d v="2023-10-05T00:00:00"/>
    <s v="2 years 5 months"/>
    <n v="2.419178082191781"/>
    <s v="No"/>
    <n v="59"/>
    <n v="160"/>
    <n v="65000"/>
    <n v="3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4"/>
  </r>
  <r>
    <s v="E026"/>
    <s v="Zachary Bell"/>
    <x v="0"/>
    <s v="Software Developer"/>
    <s v="Python, Git, Cloud, Agile"/>
    <x v="34"/>
    <n v="55"/>
    <d v="2020-09-05T00:00:00"/>
    <d v="2022-11-25T00:00:00"/>
    <s v="2 years 2 months"/>
    <n v="2.2219178082191782"/>
    <s v="No"/>
    <n v="54"/>
    <n v="200"/>
    <n v="63000"/>
    <n v="27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5"/>
  </r>
  <r>
    <s v="E045"/>
    <s v="Sophia Carter"/>
    <x v="4"/>
    <s v="Data Analyst"/>
    <s v="Python, Excel, SQL, Data Analytics"/>
    <x v="35"/>
    <n v="35"/>
    <d v="2022-04-18T00:00:00"/>
    <d v="2024-06-25T00:00:00"/>
    <s v="2 years 2 months"/>
    <n v="2.1890410958904107"/>
    <s v="No"/>
    <n v="60"/>
    <n v="150"/>
    <n v="60000"/>
    <n v="27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9"/>
  </r>
  <r>
    <s v="E021"/>
    <s v="Uma Clark"/>
    <x v="3"/>
    <s v="Receptionist"/>
    <s v="Customer Service, Outlook, Communication"/>
    <x v="36"/>
    <n v="16"/>
    <d v="2020-04-25T00:00:00"/>
    <d v="2022-05-18T00:00:00"/>
    <s v="2 years "/>
    <n v="2.0630136986301371"/>
    <s v="No"/>
    <n v="63"/>
    <n v="120"/>
    <n v="58000"/>
    <n v="25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6"/>
  </r>
  <r>
    <s v="E009"/>
    <s v="Irene Patel"/>
    <x v="5"/>
    <s v="Accountant"/>
    <s v="Excel, SAP, Auditing, Financial Reports"/>
    <x v="37"/>
    <n v="35"/>
    <d v="2019-04-22T00:00:00"/>
    <d v="2021-02-25T00:00:00"/>
    <s v="1 years 10 months"/>
    <n v="1.8493150684931507"/>
    <s v="No"/>
    <n v="70"/>
    <n v="170"/>
    <n v="57000"/>
    <n v="32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7"/>
  </r>
  <r>
    <s v="E020"/>
    <s v="Tina Nguyen"/>
    <x v="1"/>
    <s v="HR Manager"/>
    <s v="HR Policy, Management, Excel, Communication"/>
    <x v="38"/>
    <n v="50"/>
    <d v="2020-03-18T00:00:00"/>
    <d v="2021-12-22T00:00:00"/>
    <s v="1 years 9 months"/>
    <n v="1.7643835616438357"/>
    <s v="No"/>
    <n v="64"/>
    <n v="240"/>
    <n v="54000"/>
    <n v="39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3"/>
  </r>
  <r>
    <s v="E044"/>
    <s v="Ryan Ellis"/>
    <x v="5"/>
    <s v="Financial Analyst"/>
    <s v="Excel, Financial Modeling, Forecasting, Reporting"/>
    <x v="39"/>
    <n v="40"/>
    <d v="2022-03-10T00:00:00"/>
    <d v="2023-12-10T00:00:00"/>
    <s v="1 years 9 months"/>
    <n v="1.7534246575342465"/>
    <s v="No"/>
    <n v="56"/>
    <n v="190"/>
    <n v="54000"/>
    <n v="33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8"/>
  </r>
  <r>
    <s v="E015"/>
    <s v="Olivia Ross"/>
    <x v="3"/>
    <s v="Secretary"/>
    <s v="Scheduling, Data Entry, Word, Communication"/>
    <x v="40"/>
    <n v="18"/>
    <d v="2019-10-10T00:00:00"/>
    <d v="2021-05-10T00:00:00"/>
    <s v="1 years 7 months"/>
    <n v="1.5835616438356164"/>
    <s v="No"/>
    <n v="53"/>
    <n v="110"/>
    <n v="45000"/>
    <n v="27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9"/>
  </r>
  <r>
    <s v="E033"/>
    <s v="Gina Long"/>
    <x v="1"/>
    <s v="HR Coordinator"/>
    <s v="HRIS, Recruiting, Excel, Communication"/>
    <x v="41"/>
    <n v="25"/>
    <d v="2021-04-20T00:00:00"/>
    <d v="2022-11-10T00:00:00"/>
    <s v="1 years 6 months"/>
    <n v="1.558904109589041"/>
    <s v="No"/>
    <n v="62"/>
    <n v="150"/>
    <n v="42000"/>
    <n v="30"/>
    <n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5"/>
  </r>
  <r>
    <s v="E037"/>
    <s v="Kelly Martin"/>
    <x v="5"/>
    <s v="Accountant"/>
    <s v="Excel, Tax Prep, Forecasting, Financial Reporting"/>
    <x v="42"/>
    <n v="42"/>
    <d v="2021-08-15T00:00:00"/>
    <d v="2022-05-30T00:00:00"/>
    <s v="9 months"/>
    <n v="0.78904109589041094"/>
    <s v="No"/>
    <n v="67"/>
    <n v="210"/>
    <n v="35000"/>
    <n v="36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26"/>
  </r>
  <r>
    <s v="E042"/>
    <s v="Peter Stone"/>
    <x v="0"/>
    <s v="Network Engineer"/>
    <s v="Cisco IOS, VPNs, Routing, Security"/>
    <x v="43"/>
    <n v="45"/>
    <d v="2022-01-15T00:00:00"/>
    <d v="2022-09-12T00:00:00"/>
    <s v="7 months"/>
    <n v="0.65753424657534243"/>
    <s v="No"/>
    <n v="56"/>
    <n v="230"/>
    <n v="32000"/>
    <n v="39"/>
    <n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19"/>
  </r>
  <r>
    <s v="E023"/>
    <s v="Wendy Ortiz"/>
    <x v="0"/>
    <s v="Network Engineer"/>
    <s v="Network Security, VLANs, Firewalls, Troubleshooting"/>
    <x v="44"/>
    <n v="25"/>
    <d v="2020-06-14T00:00:00"/>
    <d v="2020-10-10T00:00:00"/>
    <s v="3 months"/>
    <n v="0.32328767123287672"/>
    <s v="No"/>
    <n v="41"/>
    <n v="160"/>
    <n v="31000"/>
    <n v="30"/>
    <n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"/>
    <x v="1"/>
    <n v="1"/>
    <x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855A51-AAF0-44F7-B217-EEBDD48B6264}" name="PivotTable1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M1:P8" firstHeaderRow="0" firstDataRow="1" firstDataCol="1"/>
  <pivotFields count="115">
    <pivotField dataField="1" showAll="0"/>
    <pivotField showAll="0"/>
    <pivotField axis="axisRow" showAll="0">
      <items count="7">
        <item x="3"/>
        <item x="4"/>
        <item x="5"/>
        <item x="1"/>
        <item x="0"/>
        <item x="2"/>
        <item t="default"/>
      </items>
    </pivotField>
    <pivotField showAll="0"/>
    <pivotField showAll="0"/>
    <pivotField numFmtId="14" showAll="0">
      <items count="46">
        <item x="8"/>
        <item x="2"/>
        <item x="21"/>
        <item x="3"/>
        <item x="6"/>
        <item x="0"/>
        <item x="22"/>
        <item x="9"/>
        <item x="37"/>
        <item x="17"/>
        <item x="10"/>
        <item x="1"/>
        <item x="26"/>
        <item x="18"/>
        <item x="40"/>
        <item x="31"/>
        <item x="4"/>
        <item x="5"/>
        <item x="15"/>
        <item x="38"/>
        <item x="36"/>
        <item x="7"/>
        <item x="44"/>
        <item x="29"/>
        <item x="23"/>
        <item x="34"/>
        <item x="30"/>
        <item x="11"/>
        <item x="12"/>
        <item x="13"/>
        <item x="14"/>
        <item x="25"/>
        <item x="41"/>
        <item x="33"/>
        <item x="28"/>
        <item x="16"/>
        <item x="42"/>
        <item x="27"/>
        <item x="19"/>
        <item x="20"/>
        <item x="32"/>
        <item x="43"/>
        <item x="24"/>
        <item x="39"/>
        <item x="35"/>
        <item t="default"/>
      </items>
    </pivotField>
    <pivotField showAll="0"/>
    <pivotField numFmtId="14" showAll="0"/>
    <pivotField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Count of Employees" fld="0" subtotal="count" baseField="2" baseItem="0"/>
    <dataField name="Sum of Employees Stayed" fld="108" baseField="2" baseItem="0"/>
    <dataField name="Sum of Employees that Left" fld="109" baseField="2" baseItem="0"/>
  </dataFields>
  <formats count="12"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2" type="button" dataOnly="0" labelOnly="1" outline="0" axis="axisRow" fieldPosition="0"/>
    </format>
    <format dxfId="34">
      <pivotArea dataOnly="0" labelOnly="1" fieldPosition="0">
        <references count="1">
          <reference field="2" count="0"/>
        </references>
      </pivotArea>
    </format>
    <format dxfId="33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2" type="button" dataOnly="0" labelOnly="1" outline="0" axis="axisRow" fieldPosition="0"/>
    </format>
    <format dxfId="28">
      <pivotArea dataOnly="0" labelOnly="1" fieldPosition="0">
        <references count="1">
          <reference field="2" count="0"/>
        </references>
      </pivotArea>
    </format>
    <format dxfId="27">
      <pivotArea dataOnly="0" labelOnly="1" grandRow="1" outline="0" fieldPosition="0"/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98263-FC88-448E-8C49-174C901D8043}" name="PivotTable5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Department">
  <location ref="A12:G18" firstHeaderRow="0" firstDataRow="1" firstDataCol="1"/>
  <pivotFields count="115">
    <pivotField dataField="1" showAll="0"/>
    <pivotField showAll="0"/>
    <pivotField axis="axisRow" showAll="0">
      <items count="7">
        <item x="3"/>
        <item x="4"/>
        <item x="5"/>
        <item x="1"/>
        <item x="0"/>
        <item x="2"/>
        <item t="default"/>
      </items>
    </pivotField>
    <pivotField showAll="0"/>
    <pivotField showAll="0"/>
    <pivotField numFmtId="14" showAll="0">
      <items count="46">
        <item x="8"/>
        <item x="2"/>
        <item x="21"/>
        <item x="3"/>
        <item x="6"/>
        <item x="0"/>
        <item x="22"/>
        <item x="9"/>
        <item x="37"/>
        <item x="17"/>
        <item x="10"/>
        <item x="1"/>
        <item x="26"/>
        <item x="18"/>
        <item x="40"/>
        <item x="31"/>
        <item x="4"/>
        <item x="5"/>
        <item x="15"/>
        <item x="38"/>
        <item x="36"/>
        <item x="7"/>
        <item x="44"/>
        <item x="29"/>
        <item x="23"/>
        <item x="34"/>
        <item x="30"/>
        <item x="11"/>
        <item x="12"/>
        <item x="13"/>
        <item x="14"/>
        <item x="25"/>
        <item x="41"/>
        <item x="33"/>
        <item x="28"/>
        <item x="16"/>
        <item x="42"/>
        <item x="27"/>
        <item x="19"/>
        <item x="20"/>
        <item x="32"/>
        <item x="43"/>
        <item x="24"/>
        <item x="39"/>
        <item x="35"/>
        <item t="default"/>
      </items>
    </pivotField>
    <pivotField dataField="1" showAll="0"/>
    <pivotField numFmtId="14" showAll="0"/>
    <pivotField showAll="0"/>
    <pivotField showAll="0"/>
    <pivotField numFmtId="2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m="1" x="3"/>
        <item x="0"/>
        <item x="1"/>
        <item m="1" x="2"/>
        <item t="default"/>
      </items>
    </pivotField>
    <pivotField dataField="1" showAll="0">
      <items count="3">
        <item x="1"/>
        <item x="0"/>
        <item t="default"/>
      </items>
    </pivotField>
    <pivotField showAll="0"/>
    <pivotField showAl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g Performance Score" fld="12" subtotal="average" baseField="2" baseItem="0" numFmtId="164"/>
    <dataField name="Number Active Employees" fld="108" baseField="2" baseItem="0"/>
    <dataField name="Average Salary" fld="14" subtotal="average" baseField="2" baseItem="0" numFmtId="166"/>
    <dataField name="Number of Employees" fld="0" subtotal="count" baseField="2" baseItem="0"/>
    <dataField name="Avg Onboarding(Days)" fld="6" subtotal="average" baseField="2" baseItem="0" numFmtId="164"/>
    <dataField name="Avg Training(Hours)" fld="13" subtotal="average" baseField="2" baseItem="0" numFmtId="164"/>
  </dataFields>
  <formats count="15">
    <format dxfId="52">
      <pivotArea outline="0" collapsedLevelsAreSubtotals="1" fieldPosition="0">
        <references count="1">
          <reference field="4294967294" count="2" selected="0">
            <x v="4"/>
            <x v="5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2" type="button" dataOnly="0" labelOnly="1" outline="0" axis="axisRow" fieldPosition="0"/>
    </format>
    <format dxfId="48">
      <pivotArea dataOnly="0" labelOnly="1" fieldPosition="0">
        <references count="1">
          <reference field="2" count="0"/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2" type="button" dataOnly="0" labelOnly="1" outline="0" axis="axisRow" fieldPosition="0"/>
    </format>
    <format dxfId="42">
      <pivotArea dataOnly="0" labelOnly="1" fieldPosition="0">
        <references count="1">
          <reference field="2" count="0"/>
        </references>
      </pivotArea>
    </format>
    <format dxfId="41">
      <pivotArea dataOnly="0" labelOnly="1" grandRow="1" outline="0" fieldPosition="0"/>
    </format>
    <format dxfId="40">
      <pivotArea dataOnly="0" labelOnly="1" outline="0" fieldPosition="0">
        <references count="1">
          <reference field="4294967294" count="5">
            <x v="0"/>
            <x v="2"/>
            <x v="3"/>
            <x v="4"/>
            <x v="5"/>
          </reference>
        </references>
      </pivotArea>
    </format>
    <format dxfId="39">
      <pivotArea dataOnly="0" labelOnly="1" fieldPosition="0">
        <references count="1">
          <reference field="2" count="0"/>
        </references>
      </pivotArea>
    </format>
    <format dxfId="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AE6858D-E752-48BE-8BB7-9AD9FB1495DB}" autoFormatId="16" applyNumberFormats="0" applyBorderFormats="0" applyFontFormats="0" applyPatternFormats="0" applyAlignmentFormats="0" applyWidthHeightFormats="0">
  <queryTableRefresh nextId="204" unboundColumnsRight="94">
    <queryTableFields count="111">
      <queryTableField id="1" name="Employee_ID" tableColumnId="1"/>
      <queryTableField id="2" name="Name" tableColumnId="2"/>
      <queryTableField id="3" name="Department" tableColumnId="3"/>
      <queryTableField id="4" name="Job_Title" tableColumnId="4"/>
      <queryTableField id="5" name="Skills" tableColumnId="5"/>
      <queryTableField id="6" name="Hire_Date" tableColumnId="6"/>
      <queryTableField id="7" name="Onboarding _Duration_Days" tableColumnId="7"/>
      <queryTableField id="8" name="First_Project_Start" tableColumnId="8"/>
      <queryTableField id="9" name="Last_Working_Day" tableColumnId="9"/>
      <queryTableField id="10" name="Total_Tenure_Years" tableColumnId="10"/>
      <queryTableField id="108" dataBound="0" tableColumnId="17"/>
      <queryTableField id="11" name="Tenure &lt; 0.5 Years" tableColumnId="11"/>
      <queryTableField id="12" name="Performance_Score" tableColumnId="12"/>
      <queryTableField id="13" name="Training_Hours" tableColumnId="13"/>
      <queryTableField id="14" name="Salary" tableColumnId="14"/>
      <queryTableField id="15" name="Age" tableColumnId="15"/>
      <queryTableField id="16" name="Satisfaction" tableColumnId="16"/>
      <queryTableField id="109" dataBound="0" tableColumnId="18"/>
      <queryTableField id="110" dataBound="0" tableColumnId="19"/>
      <queryTableField id="111" dataBound="0" tableColumnId="20"/>
      <queryTableField id="112" dataBound="0" tableColumnId="21"/>
      <queryTableField id="113" dataBound="0" tableColumnId="22"/>
      <queryTableField id="114" dataBound="0" tableColumnId="23"/>
      <queryTableField id="115" dataBound="0" tableColumnId="24"/>
      <queryTableField id="116" dataBound="0" tableColumnId="25"/>
      <queryTableField id="117" dataBound="0" tableColumnId="26"/>
      <queryTableField id="118" dataBound="0" tableColumnId="27"/>
      <queryTableField id="119" dataBound="0" tableColumnId="28"/>
      <queryTableField id="120" dataBound="0" tableColumnId="29"/>
      <queryTableField id="121" dataBound="0" tableColumnId="30"/>
      <queryTableField id="122" dataBound="0" tableColumnId="31"/>
      <queryTableField id="123" dataBound="0" tableColumnId="32"/>
      <queryTableField id="124" dataBound="0" tableColumnId="33"/>
      <queryTableField id="125" dataBound="0" tableColumnId="34"/>
      <queryTableField id="126" dataBound="0" tableColumnId="35"/>
      <queryTableField id="127" dataBound="0" tableColumnId="36"/>
      <queryTableField id="128" dataBound="0" tableColumnId="37"/>
      <queryTableField id="129" dataBound="0" tableColumnId="38"/>
      <queryTableField id="130" dataBound="0" tableColumnId="39"/>
      <queryTableField id="131" dataBound="0" tableColumnId="40"/>
      <queryTableField id="132" dataBound="0" tableColumnId="41"/>
      <queryTableField id="133" dataBound="0" tableColumnId="42"/>
      <queryTableField id="134" dataBound="0" tableColumnId="43"/>
      <queryTableField id="135" dataBound="0" tableColumnId="44"/>
      <queryTableField id="136" dataBound="0" tableColumnId="45"/>
      <queryTableField id="137" dataBound="0" tableColumnId="46"/>
      <queryTableField id="138" dataBound="0" tableColumnId="47"/>
      <queryTableField id="139" dataBound="0" tableColumnId="48"/>
      <queryTableField id="140" dataBound="0" tableColumnId="49"/>
      <queryTableField id="141" dataBound="0" tableColumnId="50"/>
      <queryTableField id="142" dataBound="0" tableColumnId="51"/>
      <queryTableField id="143" dataBound="0" tableColumnId="52"/>
      <queryTableField id="144" dataBound="0" tableColumnId="53"/>
      <queryTableField id="145" dataBound="0" tableColumnId="54"/>
      <queryTableField id="146" dataBound="0" tableColumnId="55"/>
      <queryTableField id="147" dataBound="0" tableColumnId="56"/>
      <queryTableField id="148" dataBound="0" tableColumnId="57"/>
      <queryTableField id="149" dataBound="0" tableColumnId="58"/>
      <queryTableField id="150" dataBound="0" tableColumnId="59"/>
      <queryTableField id="151" dataBound="0" tableColumnId="60"/>
      <queryTableField id="152" dataBound="0" tableColumnId="61"/>
      <queryTableField id="153" dataBound="0" tableColumnId="62"/>
      <queryTableField id="154" dataBound="0" tableColumnId="63"/>
      <queryTableField id="155" dataBound="0" tableColumnId="64"/>
      <queryTableField id="156" dataBound="0" tableColumnId="65"/>
      <queryTableField id="157" dataBound="0" tableColumnId="66"/>
      <queryTableField id="158" dataBound="0" tableColumnId="67"/>
      <queryTableField id="159" dataBound="0" tableColumnId="68"/>
      <queryTableField id="160" dataBound="0" tableColumnId="69"/>
      <queryTableField id="161" dataBound="0" tableColumnId="70"/>
      <queryTableField id="162" dataBound="0" tableColumnId="71"/>
      <queryTableField id="163" dataBound="0" tableColumnId="72"/>
      <queryTableField id="164" dataBound="0" tableColumnId="73"/>
      <queryTableField id="165" dataBound="0" tableColumnId="74"/>
      <queryTableField id="166" dataBound="0" tableColumnId="75"/>
      <queryTableField id="167" dataBound="0" tableColumnId="76"/>
      <queryTableField id="168" dataBound="0" tableColumnId="77"/>
      <queryTableField id="169" dataBound="0" tableColumnId="78"/>
      <queryTableField id="170" dataBound="0" tableColumnId="79"/>
      <queryTableField id="171" dataBound="0" tableColumnId="80"/>
      <queryTableField id="172" dataBound="0" tableColumnId="81"/>
      <queryTableField id="173" dataBound="0" tableColumnId="82"/>
      <queryTableField id="174" dataBound="0" tableColumnId="83"/>
      <queryTableField id="175" dataBound="0" tableColumnId="84"/>
      <queryTableField id="176" dataBound="0" tableColumnId="85"/>
      <queryTableField id="177" dataBound="0" tableColumnId="86"/>
      <queryTableField id="178" dataBound="0" tableColumnId="87"/>
      <queryTableField id="179" dataBound="0" tableColumnId="88"/>
      <queryTableField id="180" dataBound="0" tableColumnId="89"/>
      <queryTableField id="181" dataBound="0" tableColumnId="90"/>
      <queryTableField id="182" dataBound="0" tableColumnId="91"/>
      <queryTableField id="183" dataBound="0" tableColumnId="92"/>
      <queryTableField id="184" dataBound="0" tableColumnId="93"/>
      <queryTableField id="185" dataBound="0" tableColumnId="94"/>
      <queryTableField id="186" dataBound="0" tableColumnId="95"/>
      <queryTableField id="187" dataBound="0" tableColumnId="96"/>
      <queryTableField id="188" dataBound="0" tableColumnId="97"/>
      <queryTableField id="189" dataBound="0" tableColumnId="98"/>
      <queryTableField id="190" dataBound="0" tableColumnId="99"/>
      <queryTableField id="191" dataBound="0" tableColumnId="100"/>
      <queryTableField id="192" dataBound="0" tableColumnId="101"/>
      <queryTableField id="193" dataBound="0" tableColumnId="102"/>
      <queryTableField id="194" dataBound="0" tableColumnId="103"/>
      <queryTableField id="195" dataBound="0" tableColumnId="104"/>
      <queryTableField id="196" dataBound="0" tableColumnId="105"/>
      <queryTableField id="197" dataBound="0" tableColumnId="106"/>
      <queryTableField id="198" dataBound="0" tableColumnId="107"/>
      <queryTableField id="199" dataBound="0" tableColumnId="108"/>
      <queryTableField id="200" dataBound="0" tableColumnId="109"/>
      <queryTableField id="201" dataBound="0" tableColumnId="113"/>
      <queryTableField id="202" dataBound="0" tableColumnId="114"/>
    </queryTableFields>
    <queryTableDeletedFields count="90">
      <deletedField name="Column1"/>
      <deletedField name="_1"/>
      <deletedField name="_2"/>
      <deletedField name="_3"/>
      <deletedField name="_4"/>
      <deletedField name="_5"/>
      <deletedField name="_6"/>
      <deletedField name="_7"/>
      <deletedField name="_8"/>
      <deletedField name="_9"/>
      <deletedField name="_10"/>
      <deletedField name="_11"/>
      <deletedField name="_12"/>
      <deletedField name="_13"/>
      <deletedField name="_14"/>
      <deletedField name="_15"/>
      <deletedField name="_16"/>
      <deletedField name="_17"/>
      <deletedField name="_18"/>
      <deletedField name="_19"/>
      <deletedField name="_20"/>
      <deletedField name="_21"/>
      <deletedField name="_22"/>
      <deletedField name="_23"/>
      <deletedField name="_24"/>
      <deletedField name="_25"/>
      <deletedField name="_26"/>
      <deletedField name="_27"/>
      <deletedField name="_28"/>
      <deletedField name="_29"/>
      <deletedField name="_30"/>
      <deletedField name="_31"/>
      <deletedField name="_32"/>
      <deletedField name="_33"/>
      <deletedField name="_34"/>
      <deletedField name="_35"/>
      <deletedField name="_36"/>
      <deletedField name="_37"/>
      <deletedField name="_38"/>
      <deletedField name="_39"/>
      <deletedField name="_40"/>
      <deletedField name="_41"/>
      <deletedField name="_42"/>
      <deletedField name="_43"/>
      <deletedField name="_44"/>
      <deletedField name="_45"/>
      <deletedField name="_46"/>
      <deletedField name="_47"/>
      <deletedField name="_48"/>
      <deletedField name="_49"/>
      <deletedField name="_50"/>
      <deletedField name="_51"/>
      <deletedField name="_52"/>
      <deletedField name="_53"/>
      <deletedField name="_54"/>
      <deletedField name="_55"/>
      <deletedField name="_56"/>
      <deletedField name="_57"/>
      <deletedField name="_58"/>
      <deletedField name="_59"/>
      <deletedField name="_60"/>
      <deletedField name="_61"/>
      <deletedField name="_62"/>
      <deletedField name="_63"/>
      <deletedField name="_64"/>
      <deletedField name="_65"/>
      <deletedField name="_66"/>
      <deletedField name="_67"/>
      <deletedField name="_68"/>
      <deletedField name="_69"/>
      <deletedField name="_70"/>
      <deletedField name="_71"/>
      <deletedField name="_72"/>
      <deletedField name="_73"/>
      <deletedField name="_74"/>
      <deletedField name="_75"/>
      <deletedField name="_76"/>
      <deletedField name="_77"/>
      <deletedField name="_78"/>
      <deletedField name="_79"/>
      <deletedField name="_80"/>
      <deletedField name="_81"/>
      <deletedField name="_82"/>
      <deletedField name="_83"/>
      <deletedField name="_84"/>
      <deletedField name="_85"/>
      <deletedField name="_86"/>
      <deletedField name="_87"/>
      <deletedField name="_88"/>
      <deletedField name="_89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454278-C9F4-43F1-9BE8-2AF246893F55}" name="employee_retention_analysis__version_1__xlsb" displayName="employee_retention_analysis__version_1__xlsb" ref="A1:DG46" tableType="queryTable" totalsRowShown="0" headerRowDxfId="165" dataDxfId="164">
  <sortState xmlns:xlrd2="http://schemas.microsoft.com/office/spreadsheetml/2017/richdata2" ref="A2:DG46">
    <sortCondition descending="1" ref="K1:K46"/>
  </sortState>
  <tableColumns count="111">
    <tableColumn id="1" xr3:uid="{AE996F27-FE5C-4012-8BB2-55FD98743EC8}" uniqueName="1" name="Employee_ID" queryTableFieldId="1" dataDxfId="163"/>
    <tableColumn id="2" xr3:uid="{34A5BEC8-9302-4053-A8E1-B6180C09DC6E}" uniqueName="2" name="Name" queryTableFieldId="2" dataDxfId="162"/>
    <tableColumn id="3" xr3:uid="{E7C01486-C0B2-4AA1-ADAE-4C088C8BD793}" uniqueName="3" name="Department" queryTableFieldId="3" dataDxfId="161"/>
    <tableColumn id="4" xr3:uid="{B2AD9C9B-5F16-4680-BF5F-CC78E06D9B00}" uniqueName="4" name="Job_Title" queryTableFieldId="4" dataDxfId="160"/>
    <tableColumn id="5" xr3:uid="{7C2E2C5E-4185-40AF-A07D-640C6C99E690}" uniqueName="5" name="Skills" queryTableFieldId="5" dataDxfId="159"/>
    <tableColumn id="6" xr3:uid="{61C9C28F-E756-4E1A-9E03-0AD7E899FE3D}" uniqueName="6" name="Hire_Date" queryTableFieldId="6" dataDxfId="158"/>
    <tableColumn id="7" xr3:uid="{EA8D39A1-0F3C-4DA6-A5B5-AC686F5DB6BE}" uniqueName="7" name="Onboarding _Duration (Days)" queryTableFieldId="7" dataDxfId="157"/>
    <tableColumn id="8" xr3:uid="{59BEAC1F-2081-4B2B-A37D-77C3D44A0547}" uniqueName="8" name="First_Working_Day" queryTableFieldId="8" dataDxfId="156"/>
    <tableColumn id="9" xr3:uid="{ADE199C4-C947-4A20-BEA3-C560C941B463}" uniqueName="9" name="Last_Working_Day" queryTableFieldId="9" dataDxfId="155"/>
    <tableColumn id="10" xr3:uid="{382DD477-D3B7-4481-AD00-2138383D1F9A}" uniqueName="10" name="Tenure (Years, Months)" queryTableFieldId="10" dataDxfId="154"/>
    <tableColumn id="17" xr3:uid="{457DE775-1027-4048-9460-A3019D235E39}" uniqueName="17" name="Tenure (Years)" queryTableFieldId="108" dataDxfId="153">
      <calculatedColumnFormula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calculatedColumnFormula>
    </tableColumn>
    <tableColumn id="11" xr3:uid="{35A6DE0B-48C3-40F3-8A98-C5DC1956A895}" uniqueName="11" name="Tenure &lt; 0.5 Years" queryTableFieldId="11" dataDxfId="152"/>
    <tableColumn id="12" xr3:uid="{EF6A2305-55BF-4B6E-BDEC-237D88E4027B}" uniqueName="12" name="Performance_Score" queryTableFieldId="12" dataDxfId="151"/>
    <tableColumn id="13" xr3:uid="{099232A4-282B-4D42-B0DD-8B1D2D232283}" uniqueName="13" name="Training_Hours" queryTableFieldId="13" dataDxfId="150"/>
    <tableColumn id="14" xr3:uid="{0616304E-41F8-4ED5-A04D-F42FAC2C768F}" uniqueName="14" name="Salary" queryTableFieldId="14" dataDxfId="149"/>
    <tableColumn id="15" xr3:uid="{F8B8A4ED-EFEF-43C2-B2B4-8CC5D5215457}" uniqueName="15" name="Age" queryTableFieldId="15" dataDxfId="148"/>
    <tableColumn id="16" xr3:uid="{479ED5B7-0284-4A20-8241-157BF92D2876}" uniqueName="16" name="Satisfaction" queryTableFieldId="16" dataDxfId="147"/>
    <tableColumn id="18" xr3:uid="{EAD6233F-30AE-4E1F-B510-2F20159DC0FA}" uniqueName="18" name="Column1" queryTableFieldId="109" dataDxfId="146"/>
    <tableColumn id="19" xr3:uid="{91C3DD20-2A00-487F-902C-D9840A32DF01}" uniqueName="19" name="Column2" queryTableFieldId="110" dataDxfId="145"/>
    <tableColumn id="20" xr3:uid="{3EB43E15-6A27-468B-B8F9-91EA89FF653F}" uniqueName="20" name="Column3" queryTableFieldId="111" dataDxfId="144"/>
    <tableColumn id="21" xr3:uid="{7B943B06-C384-49A6-B5ED-6C73A17DC9B7}" uniqueName="21" name="Column4" queryTableFieldId="112" dataDxfId="143"/>
    <tableColumn id="22" xr3:uid="{CEE7A2EB-CD8E-4BB0-879F-A7461E96CFA7}" uniqueName="22" name="Column5" queryTableFieldId="113" dataDxfId="142"/>
    <tableColumn id="23" xr3:uid="{5046418E-C9EE-4FD7-A0B1-33290D17B074}" uniqueName="23" name="Column6" queryTableFieldId="114" dataDxfId="141"/>
    <tableColumn id="24" xr3:uid="{EC6CD76E-F5AE-4383-84D9-ACE8944CE319}" uniqueName="24" name="Column7" queryTableFieldId="115" dataDxfId="140"/>
    <tableColumn id="25" xr3:uid="{8BFC6F44-460D-49D5-A7CA-C2840D13574B}" uniqueName="25" name="Column8" queryTableFieldId="116" dataDxfId="139"/>
    <tableColumn id="26" xr3:uid="{6DD68FE8-CD7B-432C-9029-A8574B9F0CCD}" uniqueName="26" name="Column9" queryTableFieldId="117" dataDxfId="138"/>
    <tableColumn id="27" xr3:uid="{1DE756FD-7BE9-4F78-962A-2C6D3195B2C5}" uniqueName="27" name="Column10" queryTableFieldId="118" dataDxfId="137"/>
    <tableColumn id="28" xr3:uid="{20E21774-FDD4-4CB4-B32E-BB9C559C69DF}" uniqueName="28" name="Column11" queryTableFieldId="119" dataDxfId="136"/>
    <tableColumn id="29" xr3:uid="{F342C5D6-F2CE-4847-9CFA-F0CC58C6A551}" uniqueName="29" name="Column12" queryTableFieldId="120" dataDxfId="135"/>
    <tableColumn id="30" xr3:uid="{569AE6E3-ED7E-41FC-A07B-146040565FE9}" uniqueName="30" name="Column13" queryTableFieldId="121" dataDxfId="134"/>
    <tableColumn id="31" xr3:uid="{5D26E3FB-D855-41A7-919D-C436F5DB97A3}" uniqueName="31" name="Column14" queryTableFieldId="122" dataDxfId="133"/>
    <tableColumn id="32" xr3:uid="{ACE908C9-9A6E-4605-B78B-347737EA9B0B}" uniqueName="32" name="Column15" queryTableFieldId="123" dataDxfId="132"/>
    <tableColumn id="33" xr3:uid="{02A9FE21-348E-4C6C-AA8B-26F266BA5635}" uniqueName="33" name="Column16" queryTableFieldId="124" dataDxfId="131"/>
    <tableColumn id="34" xr3:uid="{34E8B376-5797-4195-AE4D-BED425CB91A1}" uniqueName="34" name="Column17" queryTableFieldId="125" dataDxfId="130"/>
    <tableColumn id="35" xr3:uid="{575555EA-44BE-424C-B575-8C8E5EE6C124}" uniqueName="35" name="Column18" queryTableFieldId="126" dataDxfId="129"/>
    <tableColumn id="36" xr3:uid="{D1F36BFD-5437-4106-B035-04D17F7B2406}" uniqueName="36" name="Column19" queryTableFieldId="127" dataDxfId="128"/>
    <tableColumn id="37" xr3:uid="{9304C62E-CC46-4D20-9176-88FBE290AD9C}" uniqueName="37" name="Column20" queryTableFieldId="128" dataDxfId="127"/>
    <tableColumn id="38" xr3:uid="{6ECA967A-2BB4-4FBA-B6DF-B3E07E25F3C5}" uniqueName="38" name="Column21" queryTableFieldId="129" dataDxfId="126"/>
    <tableColumn id="39" xr3:uid="{A91177E7-895F-4718-9822-F8A838AF298E}" uniqueName="39" name="Column22" queryTableFieldId="130" dataDxfId="125"/>
    <tableColumn id="40" xr3:uid="{6C2CAC99-FDB1-42A3-B297-7DBCBC990A78}" uniqueName="40" name="Column23" queryTableFieldId="131" dataDxfId="124"/>
    <tableColumn id="41" xr3:uid="{D65CF39B-ADC9-4F1D-B3D7-3F55E7671BE8}" uniqueName="41" name="Column24" queryTableFieldId="132" dataDxfId="123"/>
    <tableColumn id="42" xr3:uid="{2BCBA224-0498-4D38-AF23-732E2ABB6199}" uniqueName="42" name="Column25" queryTableFieldId="133" dataDxfId="122"/>
    <tableColumn id="43" xr3:uid="{48510A94-D68C-4ACD-95A1-6D6293B24F52}" uniqueName="43" name="Column26" queryTableFieldId="134" dataDxfId="121"/>
    <tableColumn id="44" xr3:uid="{B41C2EA7-5700-43A7-AB38-AACD43AFAA18}" uniqueName="44" name="Column27" queryTableFieldId="135" dataDxfId="120"/>
    <tableColumn id="45" xr3:uid="{BFC388F6-72D6-4568-987C-117C2337D2DE}" uniqueName="45" name="Column28" queryTableFieldId="136" dataDxfId="119"/>
    <tableColumn id="46" xr3:uid="{DFAFAB37-BC9A-450F-86CE-204DAD35B9B7}" uniqueName="46" name="Column29" queryTableFieldId="137" dataDxfId="118"/>
    <tableColumn id="47" xr3:uid="{3C261B7B-A43F-42DA-8DB7-F429EC3186C5}" uniqueName="47" name="Column30" queryTableFieldId="138" dataDxfId="117"/>
    <tableColumn id="48" xr3:uid="{56F19207-5809-483D-92DC-60AAE501790D}" uniqueName="48" name="Column31" queryTableFieldId="139" dataDxfId="116"/>
    <tableColumn id="49" xr3:uid="{E4E7F27B-0649-4799-99A9-4D727F205D62}" uniqueName="49" name="Column32" queryTableFieldId="140" dataDxfId="115"/>
    <tableColumn id="50" xr3:uid="{8F66EF70-7199-4F23-A104-C03AE4A75C0B}" uniqueName="50" name="Column33" queryTableFieldId="141" dataDxfId="114"/>
    <tableColumn id="51" xr3:uid="{F16FC7E2-3BC9-4E51-8290-F43A49388D8A}" uniqueName="51" name="Column34" queryTableFieldId="142" dataDxfId="113"/>
    <tableColumn id="52" xr3:uid="{061E2142-4222-4511-9655-39B218FDF7E1}" uniqueName="52" name="Column35" queryTableFieldId="143" dataDxfId="112"/>
    <tableColumn id="53" xr3:uid="{A3C61B54-4D39-4666-841A-45FF2999BD7E}" uniqueName="53" name="Column36" queryTableFieldId="144" dataDxfId="111"/>
    <tableColumn id="54" xr3:uid="{5E509BA6-EA4A-4C5C-9860-0615CE29DD38}" uniqueName="54" name="Column37" queryTableFieldId="145" dataDxfId="110"/>
    <tableColumn id="55" xr3:uid="{291687D3-3318-4091-842C-D88A4863EA21}" uniqueName="55" name="Column38" queryTableFieldId="146" dataDxfId="109"/>
    <tableColumn id="56" xr3:uid="{F0DAFBAD-3BB6-4313-9802-C1DDFAE9781D}" uniqueName="56" name="Column39" queryTableFieldId="147" dataDxfId="108"/>
    <tableColumn id="57" xr3:uid="{29D0FC2B-06F0-44E9-B387-A7088B6AE275}" uniqueName="57" name="Column40" queryTableFieldId="148" dataDxfId="107"/>
    <tableColumn id="58" xr3:uid="{9075F4F0-3891-4650-AFB8-BC84E044702B}" uniqueName="58" name="Column41" queryTableFieldId="149" dataDxfId="106"/>
    <tableColumn id="59" xr3:uid="{2461C60D-8876-42BA-A2DE-0CDE43CF3181}" uniqueName="59" name="Column42" queryTableFieldId="150" dataDxfId="105"/>
    <tableColumn id="60" xr3:uid="{5E40AE7B-3CE2-4E66-9ADF-4A7A3F55FBFD}" uniqueName="60" name="Column43" queryTableFieldId="151" dataDxfId="104"/>
    <tableColumn id="61" xr3:uid="{8121A453-3C35-43A5-A6E0-25831497DD5A}" uniqueName="61" name="Column44" queryTableFieldId="152" dataDxfId="103"/>
    <tableColumn id="62" xr3:uid="{C2D7CD43-29CA-43A9-A0F2-74271E28B257}" uniqueName="62" name="Column45" queryTableFieldId="153" dataDxfId="102"/>
    <tableColumn id="63" xr3:uid="{C16C955D-8C2C-401F-B13D-E283A9B8CA9F}" uniqueName="63" name="Column46" queryTableFieldId="154" dataDxfId="101"/>
    <tableColumn id="64" xr3:uid="{775785B9-3DAE-4097-96A4-207FD306E638}" uniqueName="64" name="Column47" queryTableFieldId="155" dataDxfId="100"/>
    <tableColumn id="65" xr3:uid="{B278AD33-C79F-45FF-8F60-F3DE39F73FAB}" uniqueName="65" name="Column48" queryTableFieldId="156" dataDxfId="99"/>
    <tableColumn id="66" xr3:uid="{F7E04D32-D6EA-475D-9340-D32613C78EB3}" uniqueName="66" name="Column49" queryTableFieldId="157" dataDxfId="98"/>
    <tableColumn id="67" xr3:uid="{600A2A10-D6C1-4FB8-90D6-EF6C08267D0E}" uniqueName="67" name="Column50" queryTableFieldId="158" dataDxfId="97"/>
    <tableColumn id="68" xr3:uid="{CD7E46FB-B6CA-468C-8659-B8758A4730CA}" uniqueName="68" name="Column51" queryTableFieldId="159" dataDxfId="96"/>
    <tableColumn id="69" xr3:uid="{C3DA3956-441C-4834-B673-B96451F120A7}" uniqueName="69" name="Column52" queryTableFieldId="160" dataDxfId="95"/>
    <tableColumn id="70" xr3:uid="{B55302DB-7553-489C-91B8-90AECC79696B}" uniqueName="70" name="Column53" queryTableFieldId="161" dataDxfId="94"/>
    <tableColumn id="71" xr3:uid="{19AC34C6-3BFF-47CB-A932-03F661AF969B}" uniqueName="71" name="Column54" queryTableFieldId="162" dataDxfId="93"/>
    <tableColumn id="72" xr3:uid="{D9D87AE2-A2C0-4373-A975-F272F1645832}" uniqueName="72" name="Column55" queryTableFieldId="163" dataDxfId="92"/>
    <tableColumn id="73" xr3:uid="{66372368-A1B8-4F8F-8618-64DD33E8E5E2}" uniqueName="73" name="Column56" queryTableFieldId="164" dataDxfId="91"/>
    <tableColumn id="74" xr3:uid="{EBBD0695-EF9B-40F5-BAD8-0A6F5B7C6C07}" uniqueName="74" name="Column57" queryTableFieldId="165" dataDxfId="90"/>
    <tableColumn id="75" xr3:uid="{6BA2ACAA-28A6-4F7C-BDB2-B7096420D134}" uniqueName="75" name="Column58" queryTableFieldId="166" dataDxfId="89"/>
    <tableColumn id="76" xr3:uid="{7F878311-99BD-45E7-88A3-A5502DA84A48}" uniqueName="76" name="Column59" queryTableFieldId="167" dataDxfId="88"/>
    <tableColumn id="77" xr3:uid="{9DB0A99B-E8D5-4610-AD11-B6A0B4E588EA}" uniqueName="77" name="Column60" queryTableFieldId="168" dataDxfId="87"/>
    <tableColumn id="78" xr3:uid="{357FDB96-9F01-49CB-91EF-5FE9BA505EE3}" uniqueName="78" name="Column61" queryTableFieldId="169" dataDxfId="86"/>
    <tableColumn id="79" xr3:uid="{6432325C-08C3-45EA-81AD-FA3A45561DF3}" uniqueName="79" name="Column62" queryTableFieldId="170" dataDxfId="85"/>
    <tableColumn id="80" xr3:uid="{21F4ADEC-638A-40A1-B52D-F902B047AEAD}" uniqueName="80" name="Column63" queryTableFieldId="171" dataDxfId="84"/>
    <tableColumn id="81" xr3:uid="{20D6DDE6-9325-404A-A866-3252C7E3D6E7}" uniqueName="81" name="Column64" queryTableFieldId="172" dataDxfId="83"/>
    <tableColumn id="82" xr3:uid="{D16B08A7-670A-4B40-82C5-4E03CA1D7467}" uniqueName="82" name="Column65" queryTableFieldId="173" dataDxfId="82"/>
    <tableColumn id="83" xr3:uid="{78A423F7-259C-4F07-B7D7-B2CD6E45E635}" uniqueName="83" name="Column66" queryTableFieldId="174" dataDxfId="81"/>
    <tableColumn id="84" xr3:uid="{3678C0A3-A0E4-465B-BA3D-83DE9BC4B55C}" uniqueName="84" name="Column67" queryTableFieldId="175" dataDxfId="80"/>
    <tableColumn id="85" xr3:uid="{71C373F2-195E-476D-B834-975AD84195DB}" uniqueName="85" name="Column68" queryTableFieldId="176" dataDxfId="79"/>
    <tableColumn id="86" xr3:uid="{B487979E-6D8F-4BBB-AE4E-317718AD9179}" uniqueName="86" name="Column69" queryTableFieldId="177" dataDxfId="78"/>
    <tableColumn id="87" xr3:uid="{7CA33C65-1862-4B90-82F1-36CF19A1A4FB}" uniqueName="87" name="Column70" queryTableFieldId="178" dataDxfId="77"/>
    <tableColumn id="88" xr3:uid="{42C78617-582F-4AC6-BE26-9FCB2D24B70B}" uniqueName="88" name="Column71" queryTableFieldId="179" dataDxfId="76"/>
    <tableColumn id="89" xr3:uid="{408B1DB0-6974-44B5-ADAF-09E1D8C3A40A}" uniqueName="89" name="Column72" queryTableFieldId="180" dataDxfId="75"/>
    <tableColumn id="90" xr3:uid="{6E71FA8F-FA5F-4B83-B8A5-B523782FDD49}" uniqueName="90" name="Column73" queryTableFieldId="181" dataDxfId="74"/>
    <tableColumn id="91" xr3:uid="{B18D837D-D837-449D-8ED2-1DBC24341F3E}" uniqueName="91" name="Column74" queryTableFieldId="182" dataDxfId="73"/>
    <tableColumn id="92" xr3:uid="{C4852707-8479-4B45-AB55-3BD56C531ADC}" uniqueName="92" name="Column75" queryTableFieldId="183" dataDxfId="72"/>
    <tableColumn id="93" xr3:uid="{4CE7A9D0-7482-4C10-9A0B-CB368075E055}" uniqueName="93" name="Column76" queryTableFieldId="184" dataDxfId="71"/>
    <tableColumn id="94" xr3:uid="{7C384D51-2C25-436B-9855-BF38AF9698D1}" uniqueName="94" name="Column77" queryTableFieldId="185" dataDxfId="70"/>
    <tableColumn id="95" xr3:uid="{ACFA9352-6026-4285-A8FB-F65064E99828}" uniqueName="95" name="Column78" queryTableFieldId="186" dataDxfId="69"/>
    <tableColumn id="96" xr3:uid="{176FF331-F010-43EB-A8EE-35F3F57DFE17}" uniqueName="96" name="Column79" queryTableFieldId="187" dataDxfId="68"/>
    <tableColumn id="97" xr3:uid="{398DDCD9-3130-480D-8A5C-DC3486B836B3}" uniqueName="97" name="Column80" queryTableFieldId="188" dataDxfId="67"/>
    <tableColumn id="98" xr3:uid="{24C39E24-17D6-4FE4-ACF4-D8FB06DE3619}" uniqueName="98" name="Column81" queryTableFieldId="189" dataDxfId="66"/>
    <tableColumn id="99" xr3:uid="{B28D1768-6742-4E16-A201-AA89662D0632}" uniqueName="99" name="Column82" queryTableFieldId="190" dataDxfId="65"/>
    <tableColumn id="100" xr3:uid="{9FBA954E-9EA7-48B5-B84E-67C9C2F92656}" uniqueName="100" name="Column83" queryTableFieldId="191" dataDxfId="64"/>
    <tableColumn id="101" xr3:uid="{E45BACDD-9AAB-48EC-9549-7BEB69EE5277}" uniqueName="101" name="Column84" queryTableFieldId="192" dataDxfId="63"/>
    <tableColumn id="102" xr3:uid="{4AA99537-9573-4F77-9DB8-8783F356A9F6}" uniqueName="102" name="Column85" queryTableFieldId="193" dataDxfId="62"/>
    <tableColumn id="103" xr3:uid="{E598AF56-1BDC-4FB9-8310-AA4105387FBC}" uniqueName="103" name="Column86" queryTableFieldId="194" dataDxfId="61"/>
    <tableColumn id="104" xr3:uid="{0DCBBC6E-52FA-4F42-9330-2C322980BB71}" uniqueName="104" name="Column87" queryTableFieldId="195" dataDxfId="60"/>
    <tableColumn id="105" xr3:uid="{75CABE1F-2EC0-4073-8308-803529AEDB75}" uniqueName="105" name="Column88" queryTableFieldId="196" dataDxfId="59"/>
    <tableColumn id="106" xr3:uid="{BA4245B2-DA1E-4F43-8407-7E191C4012A9}" uniqueName="106" name="Column89" queryTableFieldId="197" dataDxfId="58"/>
    <tableColumn id="107" xr3:uid="{690281AA-04D9-4425-98A5-FAE217F94DA8}" uniqueName="107" name="Column90" queryTableFieldId="198" dataDxfId="57"/>
    <tableColumn id="108" xr3:uid="{081FEC6A-194F-44D0-9CB8-C5EC372D5832}" uniqueName="108" name="Status" queryTableFieldId="199" dataDxfId="56">
      <calculatedColumnFormula>TRIM('Extra columns for calculation'!O1)</calculatedColumnFormula>
    </tableColumn>
    <tableColumn id="109" xr3:uid="{454F3111-12A8-4F5E-AEC7-E2719081BFC2}" uniqueName="109" name="Stay_Flag" queryTableFieldId="200" dataDxfId="55">
      <calculatedColumnFormula>IF(employee_retention_analysis__version_1__xlsb[[#This Row],[Status]]="Active",1,0)</calculatedColumnFormula>
    </tableColumn>
    <tableColumn id="113" xr3:uid="{1C8DF2A2-2906-4D39-AB99-9FA9AAEBFFD0}" uniqueName="113" name="Leave_flag" queryTableFieldId="201" dataDxfId="54">
      <calculatedColumnFormula>IF(employee_retention_analysis__version_1__xlsb[[#This Row],[Status]]="Not Active",1,0)</calculatedColumnFormula>
    </tableColumn>
    <tableColumn id="114" xr3:uid="{ACB5D610-2650-4AF6-B8A2-BCDBB6887B1D}" uniqueName="114" name="Month_Year" queryTableFieldId="202" dataDxfId="53">
      <calculatedColumnFormula>TEXT(IF(employee_retention_analysis__version_1__xlsb[[#This Row],[Status]]="Not Active",employee_retention_analysis__version_1__xlsb[[#This Row],[Last_Working_Day]],employee_retention_analysis__version_1__xlsb[[#This Row],[Hire_Date]]),"mmm yyyy")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2B8A0C-0A2E-4AD4-A219-ADC2F9CD05CB}" name="Table2" displayName="Table2" ref="A1:F7" totalsRowShown="0" headerRowDxfId="25" dataDxfId="24">
  <autoFilter ref="A1:F7" xr:uid="{F72B8A0C-0A2E-4AD4-A219-ADC2F9CD05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690E286-4527-4E9D-8265-E0C18820A213}" name="Year" dataDxfId="23"/>
    <tableColumn id="2" xr3:uid="{B05054C6-0AAB-45DA-921D-A5F517020DBA}" name="Employees at start" dataDxfId="22">
      <calculatedColumnFormula>COUNTIFS(employee_retention_analysis__version_1__xlsb[Hire_Date],"&lt;="&amp;DATE(A2,1,1),employee_retention_analysis__version_1__xlsb[Last_Working_Day],"&gt;="&amp;DATE(A2,1,1))+COUNTIFS(employee_retention_analysis__version_1__xlsb[Hire_Date],"&lt;="&amp;DATE(A2,1,1),employee_retention_analysis__version_1__xlsb[Last_Working_Day],"")</calculatedColumnFormula>
    </tableColumn>
    <tableColumn id="3" xr3:uid="{86F09670-ECA3-4FCA-8D65-58957649C607}" name="Employees that left" dataDxfId="21">
      <calculatedColumnFormula>COUNTIFS(employee_retention_analysis__version_1__xlsb[Last_Working_Day],"&gt;="&amp;DATE(A2,1,1),employee_retention_analysis__version_1__xlsb[Last_Working_Day],"&lt;="&amp;DATE(A2,12,31))</calculatedColumnFormula>
    </tableColumn>
    <tableColumn id="4" xr3:uid="{79410E73-4E5B-4820-9A17-9F26F1C5FB93}" name="Employees Remaining" dataDxfId="20">
      <calculatedColumnFormula>B2-C2</calculatedColumnFormula>
    </tableColumn>
    <tableColumn id="5" xr3:uid="{C7F508A2-CDF9-4E43-88BC-24960D765977}" name="Retention Rate" dataDxfId="19">
      <calculatedColumnFormula>(D2/B2)</calculatedColumnFormula>
    </tableColumn>
    <tableColumn id="6" xr3:uid="{C626A51A-85F7-49D1-846A-AD249528C1B7}" name="Churn " dataDxfId="18">
      <calculatedColumnFormula>Table2[[#This Row],[Employees that left]]/Table2[[#This Row],[Employees at start]]</calculatedColumnFormula>
    </tableColumn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21E8D1-F6B3-4B98-808A-D990EBEF0371}" name="Table15" displayName="Table15" ref="A24:E28" totalsRowShown="0" headerRowDxfId="17" dataDxfId="16">
  <autoFilter ref="A24:E28" xr:uid="{6521E8D1-F6B3-4B98-808A-D990EBEF0371}"/>
  <tableColumns count="5">
    <tableColumn id="1" xr3:uid="{681B7834-78E2-4C29-8E1B-40AAD95CA42B}" name="Correlation Value" dataDxfId="15"/>
    <tableColumn id="2" xr3:uid="{37C7E3F8-6AA9-4E2C-9CE9-68F021B7911F}" name="Tenure(years)" dataDxfId="14"/>
    <tableColumn id="3" xr3:uid="{E1FEB460-C1A5-44FE-91EC-68BAB8FC96BA}" name="Onboarding(days)" dataDxfId="13"/>
    <tableColumn id="4" xr3:uid="{6D232E2D-3649-41A3-8848-2958C3F42ECE}" name="Performance Score" dataDxfId="12"/>
    <tableColumn id="5" xr3:uid="{B0A7458D-3C0B-4548-A702-A4D5DF57E0FE}" name="Salary" dataDxfId="11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A46C6-BE90-459A-A6CF-BF9FBCD72495}">
  <sheetPr codeName="Sheet1"/>
  <dimension ref="A1:DG46"/>
  <sheetViews>
    <sheetView topLeftCell="G1" workbookViewId="0">
      <selection activeCell="DH17" sqref="DH17"/>
    </sheetView>
  </sheetViews>
  <sheetFormatPr defaultColWidth="8.88671875" defaultRowHeight="14.4" x14ac:dyDescent="0.3"/>
  <cols>
    <col min="1" max="1" width="14" style="11" bestFit="1" customWidth="1"/>
    <col min="2" max="2" width="13.44140625" style="11" bestFit="1" customWidth="1"/>
    <col min="3" max="3" width="13.21875" style="11" bestFit="1" customWidth="1"/>
    <col min="4" max="4" width="21.88671875" style="11" bestFit="1" customWidth="1"/>
    <col min="5" max="5" width="32.5546875" style="11" customWidth="1"/>
    <col min="6" max="6" width="11.44140625" style="11" bestFit="1" customWidth="1"/>
    <col min="7" max="7" width="21.44140625" style="12" customWidth="1"/>
    <col min="8" max="8" width="18.77734375" style="11" bestFit="1" customWidth="1"/>
    <col min="9" max="9" width="18.21875" style="11" bestFit="1" customWidth="1"/>
    <col min="10" max="10" width="22.33203125" style="11" customWidth="1"/>
    <col min="11" max="11" width="15.77734375" style="11" customWidth="1"/>
    <col min="12" max="12" width="17.6640625" style="11" customWidth="1"/>
    <col min="13" max="13" width="19.33203125" style="11" customWidth="1"/>
    <col min="14" max="14" width="15.109375" style="11" customWidth="1"/>
    <col min="15" max="15" width="9.33203125" style="11" customWidth="1"/>
    <col min="16" max="16" width="13.21875" style="11" bestFit="1" customWidth="1"/>
    <col min="17" max="17" width="0" style="11" hidden="1" customWidth="1"/>
    <col min="18" max="106" width="13.21875" style="11" hidden="1" customWidth="1"/>
    <col min="107" max="107" width="0" style="11" hidden="1" customWidth="1"/>
    <col min="108" max="108" width="12.109375" style="11" customWidth="1"/>
    <col min="109" max="109" width="5.77734375" style="11" bestFit="1" customWidth="1"/>
    <col min="110" max="110" width="6" style="11" customWidth="1"/>
    <col min="111" max="111" width="14.88671875" style="11" customWidth="1"/>
    <col min="112" max="16384" width="8.88671875" style="11"/>
  </cols>
  <sheetData>
    <row r="1" spans="1:111" s="8" customFormat="1" ht="42.6" thickTop="1" thickBot="1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178</v>
      </c>
      <c r="H1" s="6" t="s">
        <v>179</v>
      </c>
      <c r="I1" s="6" t="s">
        <v>6</v>
      </c>
      <c r="J1" s="6" t="s">
        <v>181</v>
      </c>
      <c r="K1" s="6" t="s">
        <v>182</v>
      </c>
      <c r="L1" s="6" t="s">
        <v>7</v>
      </c>
      <c r="M1" s="6" t="s">
        <v>8</v>
      </c>
      <c r="N1" s="6" t="s">
        <v>9</v>
      </c>
      <c r="O1" s="6" t="s">
        <v>10</v>
      </c>
      <c r="P1" s="6" t="s">
        <v>11</v>
      </c>
      <c r="Q1" s="6" t="s">
        <v>12</v>
      </c>
      <c r="R1" s="16" t="s">
        <v>185</v>
      </c>
      <c r="S1" s="16" t="s">
        <v>186</v>
      </c>
      <c r="T1" s="16" t="s">
        <v>187</v>
      </c>
      <c r="U1" s="16" t="s">
        <v>188</v>
      </c>
      <c r="V1" s="16" t="s">
        <v>189</v>
      </c>
      <c r="W1" s="16" t="s">
        <v>190</v>
      </c>
      <c r="X1" s="16" t="s">
        <v>191</v>
      </c>
      <c r="Y1" s="16" t="s">
        <v>192</v>
      </c>
      <c r="Z1" s="16" t="s">
        <v>193</v>
      </c>
      <c r="AA1" s="16" t="s">
        <v>194</v>
      </c>
      <c r="AB1" s="16" t="s">
        <v>195</v>
      </c>
      <c r="AC1" s="16" t="s">
        <v>196</v>
      </c>
      <c r="AD1" s="16" t="s">
        <v>197</v>
      </c>
      <c r="AE1" s="16" t="s">
        <v>198</v>
      </c>
      <c r="AF1" s="16" t="s">
        <v>199</v>
      </c>
      <c r="AG1" s="16" t="s">
        <v>200</v>
      </c>
      <c r="AH1" s="16" t="s">
        <v>201</v>
      </c>
      <c r="AI1" s="16" t="s">
        <v>202</v>
      </c>
      <c r="AJ1" s="16" t="s">
        <v>203</v>
      </c>
      <c r="AK1" s="16" t="s">
        <v>204</v>
      </c>
      <c r="AL1" s="16" t="s">
        <v>205</v>
      </c>
      <c r="AM1" s="16" t="s">
        <v>206</v>
      </c>
      <c r="AN1" s="16" t="s">
        <v>207</v>
      </c>
      <c r="AO1" s="16" t="s">
        <v>208</v>
      </c>
      <c r="AP1" s="16" t="s">
        <v>209</v>
      </c>
      <c r="AQ1" s="16" t="s">
        <v>210</v>
      </c>
      <c r="AR1" s="16" t="s">
        <v>211</v>
      </c>
      <c r="AS1" s="16" t="s">
        <v>212</v>
      </c>
      <c r="AT1" s="16" t="s">
        <v>213</v>
      </c>
      <c r="AU1" s="16" t="s">
        <v>214</v>
      </c>
      <c r="AV1" s="16" t="s">
        <v>215</v>
      </c>
      <c r="AW1" s="16" t="s">
        <v>216</v>
      </c>
      <c r="AX1" s="16" t="s">
        <v>217</v>
      </c>
      <c r="AY1" s="16" t="s">
        <v>218</v>
      </c>
      <c r="AZ1" s="16" t="s">
        <v>219</v>
      </c>
      <c r="BA1" s="16" t="s">
        <v>220</v>
      </c>
      <c r="BB1" s="16" t="s">
        <v>221</v>
      </c>
      <c r="BC1" s="16" t="s">
        <v>222</v>
      </c>
      <c r="BD1" s="16" t="s">
        <v>223</v>
      </c>
      <c r="BE1" s="16" t="s">
        <v>224</v>
      </c>
      <c r="BF1" s="16" t="s">
        <v>225</v>
      </c>
      <c r="BG1" s="16" t="s">
        <v>226</v>
      </c>
      <c r="BH1" s="16" t="s">
        <v>227</v>
      </c>
      <c r="BI1" s="16" t="s">
        <v>228</v>
      </c>
      <c r="BJ1" s="16" t="s">
        <v>229</v>
      </c>
      <c r="BK1" s="16" t="s">
        <v>230</v>
      </c>
      <c r="BL1" s="16" t="s">
        <v>231</v>
      </c>
      <c r="BM1" s="16" t="s">
        <v>232</v>
      </c>
      <c r="BN1" s="16" t="s">
        <v>233</v>
      </c>
      <c r="BO1" s="16" t="s">
        <v>234</v>
      </c>
      <c r="BP1" s="16" t="s">
        <v>235</v>
      </c>
      <c r="BQ1" s="16" t="s">
        <v>236</v>
      </c>
      <c r="BR1" s="16" t="s">
        <v>237</v>
      </c>
      <c r="BS1" s="16" t="s">
        <v>238</v>
      </c>
      <c r="BT1" s="16" t="s">
        <v>239</v>
      </c>
      <c r="BU1" s="16" t="s">
        <v>240</v>
      </c>
      <c r="BV1" s="16" t="s">
        <v>241</v>
      </c>
      <c r="BW1" s="16" t="s">
        <v>242</v>
      </c>
      <c r="BX1" s="16" t="s">
        <v>243</v>
      </c>
      <c r="BY1" s="16" t="s">
        <v>244</v>
      </c>
      <c r="BZ1" s="16" t="s">
        <v>245</v>
      </c>
      <c r="CA1" s="16" t="s">
        <v>246</v>
      </c>
      <c r="CB1" s="16" t="s">
        <v>247</v>
      </c>
      <c r="CC1" s="16" t="s">
        <v>248</v>
      </c>
      <c r="CD1" s="16" t="s">
        <v>249</v>
      </c>
      <c r="CE1" s="16" t="s">
        <v>250</v>
      </c>
      <c r="CF1" s="16" t="s">
        <v>251</v>
      </c>
      <c r="CG1" s="16" t="s">
        <v>252</v>
      </c>
      <c r="CH1" s="16" t="s">
        <v>253</v>
      </c>
      <c r="CI1" s="16" t="s">
        <v>254</v>
      </c>
      <c r="CJ1" s="16" t="s">
        <v>255</v>
      </c>
      <c r="CK1" s="16" t="s">
        <v>256</v>
      </c>
      <c r="CL1" s="16" t="s">
        <v>257</v>
      </c>
      <c r="CM1" s="16" t="s">
        <v>258</v>
      </c>
      <c r="CN1" s="16" t="s">
        <v>259</v>
      </c>
      <c r="CO1" s="16" t="s">
        <v>260</v>
      </c>
      <c r="CP1" s="16" t="s">
        <v>261</v>
      </c>
      <c r="CQ1" s="16" t="s">
        <v>262</v>
      </c>
      <c r="CR1" s="16" t="s">
        <v>263</v>
      </c>
      <c r="CS1" s="16" t="s">
        <v>264</v>
      </c>
      <c r="CT1" s="16" t="s">
        <v>265</v>
      </c>
      <c r="CU1" s="16" t="s">
        <v>266</v>
      </c>
      <c r="CV1" s="16" t="s">
        <v>267</v>
      </c>
      <c r="CW1" s="16" t="s">
        <v>268</v>
      </c>
      <c r="CX1" s="16" t="s">
        <v>269</v>
      </c>
      <c r="CY1" s="16" t="s">
        <v>270</v>
      </c>
      <c r="CZ1" s="16" t="s">
        <v>271</v>
      </c>
      <c r="DA1" s="16" t="s">
        <v>272</v>
      </c>
      <c r="DB1" s="16" t="s">
        <v>273</v>
      </c>
      <c r="DC1" s="16" t="s">
        <v>274</v>
      </c>
      <c r="DD1" s="14" t="s">
        <v>183</v>
      </c>
      <c r="DE1" s="33" t="s">
        <v>289</v>
      </c>
      <c r="DF1" s="33" t="s">
        <v>290</v>
      </c>
      <c r="DG1" s="33" t="s">
        <v>291</v>
      </c>
    </row>
    <row r="2" spans="1:111" ht="31.8" thickTop="1" x14ac:dyDescent="0.3">
      <c r="A2" s="9" t="s">
        <v>37</v>
      </c>
      <c r="B2" s="9" t="s">
        <v>38</v>
      </c>
      <c r="C2" s="9" t="s">
        <v>15</v>
      </c>
      <c r="D2" s="9" t="s">
        <v>39</v>
      </c>
      <c r="E2" s="10" t="s">
        <v>40</v>
      </c>
      <c r="F2" s="7">
        <v>43291</v>
      </c>
      <c r="G2" s="10">
        <v>60</v>
      </c>
      <c r="H2" s="7">
        <v>43475</v>
      </c>
      <c r="I2" s="7"/>
      <c r="J2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9 months</v>
      </c>
      <c r="K2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6.8109589041095893</v>
      </c>
      <c r="L2" s="10" t="s">
        <v>17</v>
      </c>
      <c r="M2" s="24">
        <v>90</v>
      </c>
      <c r="N2" s="23">
        <v>210</v>
      </c>
      <c r="O2" s="40">
        <v>115000</v>
      </c>
      <c r="P2" s="77">
        <v>28</v>
      </c>
      <c r="Q2" s="77">
        <v>28</v>
      </c>
      <c r="R2" s="77">
        <v>28</v>
      </c>
      <c r="S2" s="77">
        <v>28</v>
      </c>
      <c r="T2" s="77">
        <v>28</v>
      </c>
      <c r="U2" s="77">
        <v>28</v>
      </c>
      <c r="V2" s="77">
        <v>28</v>
      </c>
      <c r="W2" s="77">
        <v>28</v>
      </c>
      <c r="X2" s="77">
        <v>28</v>
      </c>
      <c r="Y2" s="77">
        <v>28</v>
      </c>
      <c r="Z2" s="77">
        <v>28</v>
      </c>
      <c r="AA2" s="77">
        <v>28</v>
      </c>
      <c r="AB2" s="77">
        <v>28</v>
      </c>
      <c r="AC2" s="77">
        <v>28</v>
      </c>
      <c r="AD2" s="77">
        <v>28</v>
      </c>
      <c r="AE2" s="77">
        <v>28</v>
      </c>
      <c r="AF2" s="77">
        <v>28</v>
      </c>
      <c r="AG2" s="77">
        <v>28</v>
      </c>
      <c r="AH2" s="77">
        <v>28</v>
      </c>
      <c r="AI2" s="77">
        <v>28</v>
      </c>
      <c r="AJ2" s="77">
        <v>28</v>
      </c>
      <c r="AK2" s="77">
        <v>28</v>
      </c>
      <c r="AL2" s="77">
        <v>28</v>
      </c>
      <c r="AM2" s="77">
        <v>28</v>
      </c>
      <c r="AN2" s="77">
        <v>28</v>
      </c>
      <c r="AO2" s="77">
        <v>28</v>
      </c>
      <c r="AP2" s="77">
        <v>28</v>
      </c>
      <c r="AQ2" s="77">
        <v>28</v>
      </c>
      <c r="AR2" s="77">
        <v>28</v>
      </c>
      <c r="AS2" s="77">
        <v>28</v>
      </c>
      <c r="AT2" s="77">
        <v>28</v>
      </c>
      <c r="AU2" s="77">
        <v>28</v>
      </c>
      <c r="AV2" s="77">
        <v>28</v>
      </c>
      <c r="AW2" s="77">
        <v>28</v>
      </c>
      <c r="AX2" s="77">
        <v>28</v>
      </c>
      <c r="AY2" s="77">
        <v>28</v>
      </c>
      <c r="AZ2" s="77">
        <v>28</v>
      </c>
      <c r="BA2" s="77">
        <v>28</v>
      </c>
      <c r="BB2" s="77">
        <v>28</v>
      </c>
      <c r="BC2" s="77">
        <v>28</v>
      </c>
      <c r="BD2" s="77">
        <v>28</v>
      </c>
      <c r="BE2" s="77">
        <v>28</v>
      </c>
      <c r="BF2" s="77">
        <v>28</v>
      </c>
      <c r="BG2" s="77">
        <v>28</v>
      </c>
      <c r="BH2" s="77">
        <v>28</v>
      </c>
      <c r="BI2" s="77">
        <v>28</v>
      </c>
      <c r="BJ2" s="77">
        <v>28</v>
      </c>
      <c r="BK2" s="77">
        <v>28</v>
      </c>
      <c r="BL2" s="77">
        <v>28</v>
      </c>
      <c r="BM2" s="77">
        <v>28</v>
      </c>
      <c r="BN2" s="77">
        <v>28</v>
      </c>
      <c r="BO2" s="77">
        <v>28</v>
      </c>
      <c r="BP2" s="77">
        <v>28</v>
      </c>
      <c r="BQ2" s="77">
        <v>28</v>
      </c>
      <c r="BR2" s="77">
        <v>28</v>
      </c>
      <c r="BS2" s="77">
        <v>28</v>
      </c>
      <c r="BT2" s="77">
        <v>28</v>
      </c>
      <c r="BU2" s="77">
        <v>28</v>
      </c>
      <c r="BV2" s="77">
        <v>28</v>
      </c>
      <c r="BW2" s="77">
        <v>28</v>
      </c>
      <c r="BX2" s="77">
        <v>28</v>
      </c>
      <c r="BY2" s="77">
        <v>28</v>
      </c>
      <c r="BZ2" s="77">
        <v>28</v>
      </c>
      <c r="CA2" s="77">
        <v>28</v>
      </c>
      <c r="CB2" s="77">
        <v>28</v>
      </c>
      <c r="CC2" s="77">
        <v>28</v>
      </c>
      <c r="CD2" s="77">
        <v>28</v>
      </c>
      <c r="CE2" s="77">
        <v>28</v>
      </c>
      <c r="CF2" s="77">
        <v>28</v>
      </c>
      <c r="CG2" s="77">
        <v>28</v>
      </c>
      <c r="CH2" s="77">
        <v>28</v>
      </c>
      <c r="CI2" s="77">
        <v>28</v>
      </c>
      <c r="CJ2" s="77">
        <v>28</v>
      </c>
      <c r="CK2" s="77">
        <v>28</v>
      </c>
      <c r="CL2" s="77">
        <v>28</v>
      </c>
      <c r="CM2" s="77">
        <v>28</v>
      </c>
      <c r="CN2" s="77">
        <v>28</v>
      </c>
      <c r="CO2" s="77">
        <v>28</v>
      </c>
      <c r="CP2" s="77">
        <v>28</v>
      </c>
      <c r="CQ2" s="77">
        <v>28</v>
      </c>
      <c r="CR2" s="77">
        <v>28</v>
      </c>
      <c r="CS2" s="77">
        <v>28</v>
      </c>
      <c r="CT2" s="77">
        <v>28</v>
      </c>
      <c r="CU2" s="77">
        <v>28</v>
      </c>
      <c r="CV2" s="77">
        <v>28</v>
      </c>
      <c r="CW2" s="77">
        <v>28</v>
      </c>
      <c r="CX2" s="77">
        <v>28</v>
      </c>
      <c r="CY2" s="77">
        <v>28</v>
      </c>
      <c r="CZ2" s="77">
        <v>28</v>
      </c>
      <c r="DA2" s="77">
        <v>28</v>
      </c>
      <c r="DB2" s="77">
        <v>28</v>
      </c>
      <c r="DC2" s="77">
        <v>28</v>
      </c>
      <c r="DD2" s="77" t="str">
        <f>TRIM('Extra columns for calculation'!O1)</f>
        <v>Active</v>
      </c>
      <c r="DE2" s="77">
        <f>IF(employee_retention_analysis__version_1__xlsb[[#This Row],[Status]]="Active",1,0)</f>
        <v>1</v>
      </c>
      <c r="DF2" s="77">
        <f>IF(employee_retention_analysis__version_1__xlsb[[#This Row],[Status]]="Not Active",1,0)</f>
        <v>0</v>
      </c>
      <c r="DG2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Jul 2018</v>
      </c>
    </row>
    <row r="3" spans="1:111" ht="31.2" x14ac:dyDescent="0.3">
      <c r="A3" s="9" t="s">
        <v>62</v>
      </c>
      <c r="B3" s="9" t="s">
        <v>63</v>
      </c>
      <c r="C3" s="9" t="s">
        <v>15</v>
      </c>
      <c r="D3" s="9" t="s">
        <v>20</v>
      </c>
      <c r="E3" s="10" t="s">
        <v>64</v>
      </c>
      <c r="F3" s="7">
        <v>43585</v>
      </c>
      <c r="G3" s="10">
        <v>40</v>
      </c>
      <c r="H3" s="7">
        <v>43660</v>
      </c>
      <c r="I3" s="7"/>
      <c r="J3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3 months</v>
      </c>
      <c r="K3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6.3041095890410963</v>
      </c>
      <c r="L3" s="10" t="s">
        <v>17</v>
      </c>
      <c r="M3" s="10">
        <v>85</v>
      </c>
      <c r="N3" s="23">
        <v>140</v>
      </c>
      <c r="O3" s="91">
        <v>112000</v>
      </c>
      <c r="P3" s="78">
        <v>30</v>
      </c>
      <c r="Q3" s="78">
        <v>30</v>
      </c>
      <c r="R3" s="78">
        <v>30</v>
      </c>
      <c r="S3" s="78">
        <v>30</v>
      </c>
      <c r="T3" s="78">
        <v>30</v>
      </c>
      <c r="U3" s="78">
        <v>30</v>
      </c>
      <c r="V3" s="78">
        <v>30</v>
      </c>
      <c r="W3" s="78">
        <v>30</v>
      </c>
      <c r="X3" s="78">
        <v>30</v>
      </c>
      <c r="Y3" s="78">
        <v>30</v>
      </c>
      <c r="Z3" s="78">
        <v>30</v>
      </c>
      <c r="AA3" s="78">
        <v>30</v>
      </c>
      <c r="AB3" s="78">
        <v>30</v>
      </c>
      <c r="AC3" s="78">
        <v>30</v>
      </c>
      <c r="AD3" s="78">
        <v>30</v>
      </c>
      <c r="AE3" s="78">
        <v>30</v>
      </c>
      <c r="AF3" s="78">
        <v>30</v>
      </c>
      <c r="AG3" s="78">
        <v>30</v>
      </c>
      <c r="AH3" s="78">
        <v>30</v>
      </c>
      <c r="AI3" s="78">
        <v>30</v>
      </c>
      <c r="AJ3" s="78">
        <v>30</v>
      </c>
      <c r="AK3" s="78">
        <v>30</v>
      </c>
      <c r="AL3" s="78">
        <v>30</v>
      </c>
      <c r="AM3" s="78">
        <v>30</v>
      </c>
      <c r="AN3" s="78">
        <v>30</v>
      </c>
      <c r="AO3" s="78">
        <v>30</v>
      </c>
      <c r="AP3" s="78">
        <v>30</v>
      </c>
      <c r="AQ3" s="78">
        <v>30</v>
      </c>
      <c r="AR3" s="78">
        <v>30</v>
      </c>
      <c r="AS3" s="78">
        <v>30</v>
      </c>
      <c r="AT3" s="78">
        <v>30</v>
      </c>
      <c r="AU3" s="78">
        <v>30</v>
      </c>
      <c r="AV3" s="78">
        <v>30</v>
      </c>
      <c r="AW3" s="78">
        <v>30</v>
      </c>
      <c r="AX3" s="78">
        <v>30</v>
      </c>
      <c r="AY3" s="78">
        <v>30</v>
      </c>
      <c r="AZ3" s="78">
        <v>30</v>
      </c>
      <c r="BA3" s="78">
        <v>30</v>
      </c>
      <c r="BB3" s="78">
        <v>30</v>
      </c>
      <c r="BC3" s="78">
        <v>30</v>
      </c>
      <c r="BD3" s="78">
        <v>30</v>
      </c>
      <c r="BE3" s="78">
        <v>30</v>
      </c>
      <c r="BF3" s="78">
        <v>30</v>
      </c>
      <c r="BG3" s="78">
        <v>30</v>
      </c>
      <c r="BH3" s="78">
        <v>30</v>
      </c>
      <c r="BI3" s="78">
        <v>30</v>
      </c>
      <c r="BJ3" s="78">
        <v>30</v>
      </c>
      <c r="BK3" s="78">
        <v>30</v>
      </c>
      <c r="BL3" s="78">
        <v>30</v>
      </c>
      <c r="BM3" s="78">
        <v>30</v>
      </c>
      <c r="BN3" s="78">
        <v>30</v>
      </c>
      <c r="BO3" s="78">
        <v>30</v>
      </c>
      <c r="BP3" s="78">
        <v>30</v>
      </c>
      <c r="BQ3" s="78">
        <v>30</v>
      </c>
      <c r="BR3" s="78">
        <v>30</v>
      </c>
      <c r="BS3" s="78">
        <v>30</v>
      </c>
      <c r="BT3" s="78">
        <v>30</v>
      </c>
      <c r="BU3" s="78">
        <v>30</v>
      </c>
      <c r="BV3" s="78">
        <v>30</v>
      </c>
      <c r="BW3" s="78">
        <v>30</v>
      </c>
      <c r="BX3" s="78">
        <v>30</v>
      </c>
      <c r="BY3" s="78">
        <v>30</v>
      </c>
      <c r="BZ3" s="78">
        <v>30</v>
      </c>
      <c r="CA3" s="78">
        <v>30</v>
      </c>
      <c r="CB3" s="78">
        <v>30</v>
      </c>
      <c r="CC3" s="78">
        <v>30</v>
      </c>
      <c r="CD3" s="78">
        <v>30</v>
      </c>
      <c r="CE3" s="78">
        <v>30</v>
      </c>
      <c r="CF3" s="78">
        <v>30</v>
      </c>
      <c r="CG3" s="78">
        <v>30</v>
      </c>
      <c r="CH3" s="78">
        <v>30</v>
      </c>
      <c r="CI3" s="78">
        <v>30</v>
      </c>
      <c r="CJ3" s="78">
        <v>30</v>
      </c>
      <c r="CK3" s="78">
        <v>30</v>
      </c>
      <c r="CL3" s="78">
        <v>30</v>
      </c>
      <c r="CM3" s="78">
        <v>30</v>
      </c>
      <c r="CN3" s="78">
        <v>30</v>
      </c>
      <c r="CO3" s="78">
        <v>30</v>
      </c>
      <c r="CP3" s="78">
        <v>30</v>
      </c>
      <c r="CQ3" s="78">
        <v>30</v>
      </c>
      <c r="CR3" s="78">
        <v>30</v>
      </c>
      <c r="CS3" s="78">
        <v>30</v>
      </c>
      <c r="CT3" s="78">
        <v>30</v>
      </c>
      <c r="CU3" s="78">
        <v>30</v>
      </c>
      <c r="CV3" s="78">
        <v>30</v>
      </c>
      <c r="CW3" s="78">
        <v>30</v>
      </c>
      <c r="CX3" s="78">
        <v>30</v>
      </c>
      <c r="CY3" s="78">
        <v>30</v>
      </c>
      <c r="CZ3" s="78">
        <v>30</v>
      </c>
      <c r="DA3" s="78">
        <v>30</v>
      </c>
      <c r="DB3" s="78">
        <v>30</v>
      </c>
      <c r="DC3" s="78">
        <v>30</v>
      </c>
      <c r="DD3" s="78" t="str">
        <f>TRIM('Extra columns for calculation'!O2)</f>
        <v>Active</v>
      </c>
      <c r="DE3" s="78">
        <f>IF(employee_retention_analysis__version_1__xlsb[[#This Row],[Status]]="Active",1,0)</f>
        <v>1</v>
      </c>
      <c r="DF3" s="23">
        <f>IF(employee_retention_analysis__version_1__xlsb[[#This Row],[Status]]="Not Active",1,0)</f>
        <v>0</v>
      </c>
      <c r="DG3" s="23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Apr 2019</v>
      </c>
    </row>
    <row r="4" spans="1:111" ht="31.2" x14ac:dyDescent="0.3">
      <c r="A4" s="26" t="s">
        <v>18</v>
      </c>
      <c r="B4" s="26" t="s">
        <v>19</v>
      </c>
      <c r="C4" s="26" t="s">
        <v>15</v>
      </c>
      <c r="D4" s="26" t="s">
        <v>322</v>
      </c>
      <c r="E4" s="27" t="s">
        <v>21</v>
      </c>
      <c r="F4" s="28">
        <v>43135</v>
      </c>
      <c r="G4" s="27">
        <v>30</v>
      </c>
      <c r="H4" s="28">
        <v>43269</v>
      </c>
      <c r="I4" s="28">
        <v>45524</v>
      </c>
      <c r="J4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2 months</v>
      </c>
      <c r="K4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6.1780821917808222</v>
      </c>
      <c r="L4" s="27" t="s">
        <v>17</v>
      </c>
      <c r="M4" s="27">
        <v>70</v>
      </c>
      <c r="N4" s="26">
        <v>160</v>
      </c>
      <c r="O4" s="92">
        <v>110000</v>
      </c>
      <c r="P4" s="26">
        <v>33</v>
      </c>
      <c r="Q4" s="26">
        <v>7</v>
      </c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  <c r="DB4" s="30"/>
      <c r="DC4" s="30"/>
      <c r="DD4" s="80" t="str">
        <f>TRIM('Extra columns for calculation'!O3)</f>
        <v>Not Active</v>
      </c>
      <c r="DE4" s="26">
        <f>IF(employee_retention_analysis__version_1__xlsb[[#This Row],[Status]]="Active",1,0)</f>
        <v>0</v>
      </c>
      <c r="DF4" s="26">
        <f>IF(employee_retention_analysis__version_1__xlsb[[#This Row],[Status]]="Not Active",1,0)</f>
        <v>1</v>
      </c>
      <c r="DG4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Aug 2024</v>
      </c>
    </row>
    <row r="5" spans="1:111" ht="31.2" x14ac:dyDescent="0.3">
      <c r="A5" s="9" t="s">
        <v>22</v>
      </c>
      <c r="B5" s="9" t="s">
        <v>23</v>
      </c>
      <c r="C5" s="9" t="s">
        <v>24</v>
      </c>
      <c r="D5" s="9" t="s">
        <v>25</v>
      </c>
      <c r="E5" s="10" t="s">
        <v>26</v>
      </c>
      <c r="F5" s="7">
        <v>43209</v>
      </c>
      <c r="G5" s="10">
        <v>25</v>
      </c>
      <c r="H5" s="7">
        <v>43730</v>
      </c>
      <c r="I5" s="7"/>
      <c r="J5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1 months</v>
      </c>
      <c r="K5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6.1123287671232873</v>
      </c>
      <c r="L5" s="10" t="s">
        <v>17</v>
      </c>
      <c r="M5" s="10">
        <v>75</v>
      </c>
      <c r="N5" s="23">
        <v>140</v>
      </c>
      <c r="O5" s="91">
        <v>108000</v>
      </c>
      <c r="P5" s="77">
        <v>31</v>
      </c>
      <c r="Q5" s="77">
        <v>31</v>
      </c>
      <c r="R5" s="77">
        <v>31</v>
      </c>
      <c r="S5" s="77">
        <v>31</v>
      </c>
      <c r="T5" s="77">
        <v>31</v>
      </c>
      <c r="U5" s="77">
        <v>31</v>
      </c>
      <c r="V5" s="77">
        <v>31</v>
      </c>
      <c r="W5" s="77">
        <v>31</v>
      </c>
      <c r="X5" s="77">
        <v>31</v>
      </c>
      <c r="Y5" s="77">
        <v>31</v>
      </c>
      <c r="Z5" s="77">
        <v>31</v>
      </c>
      <c r="AA5" s="77">
        <v>31</v>
      </c>
      <c r="AB5" s="77">
        <v>31</v>
      </c>
      <c r="AC5" s="77">
        <v>31</v>
      </c>
      <c r="AD5" s="77">
        <v>31</v>
      </c>
      <c r="AE5" s="77">
        <v>31</v>
      </c>
      <c r="AF5" s="77">
        <v>31</v>
      </c>
      <c r="AG5" s="77">
        <v>31</v>
      </c>
      <c r="AH5" s="77">
        <v>31</v>
      </c>
      <c r="AI5" s="77">
        <v>31</v>
      </c>
      <c r="AJ5" s="77">
        <v>31</v>
      </c>
      <c r="AK5" s="77">
        <v>31</v>
      </c>
      <c r="AL5" s="77">
        <v>31</v>
      </c>
      <c r="AM5" s="77">
        <v>31</v>
      </c>
      <c r="AN5" s="77">
        <v>31</v>
      </c>
      <c r="AO5" s="77">
        <v>31</v>
      </c>
      <c r="AP5" s="77">
        <v>31</v>
      </c>
      <c r="AQ5" s="77">
        <v>31</v>
      </c>
      <c r="AR5" s="77">
        <v>31</v>
      </c>
      <c r="AS5" s="77">
        <v>31</v>
      </c>
      <c r="AT5" s="77">
        <v>31</v>
      </c>
      <c r="AU5" s="77">
        <v>31</v>
      </c>
      <c r="AV5" s="77">
        <v>31</v>
      </c>
      <c r="AW5" s="77">
        <v>31</v>
      </c>
      <c r="AX5" s="77">
        <v>31</v>
      </c>
      <c r="AY5" s="77">
        <v>31</v>
      </c>
      <c r="AZ5" s="77">
        <v>31</v>
      </c>
      <c r="BA5" s="77">
        <v>31</v>
      </c>
      <c r="BB5" s="77">
        <v>31</v>
      </c>
      <c r="BC5" s="77">
        <v>31</v>
      </c>
      <c r="BD5" s="77">
        <v>31</v>
      </c>
      <c r="BE5" s="77">
        <v>31</v>
      </c>
      <c r="BF5" s="77">
        <v>31</v>
      </c>
      <c r="BG5" s="77">
        <v>31</v>
      </c>
      <c r="BH5" s="77">
        <v>31</v>
      </c>
      <c r="BI5" s="77">
        <v>31</v>
      </c>
      <c r="BJ5" s="77">
        <v>31</v>
      </c>
      <c r="BK5" s="77">
        <v>31</v>
      </c>
      <c r="BL5" s="77">
        <v>31</v>
      </c>
      <c r="BM5" s="77">
        <v>31</v>
      </c>
      <c r="BN5" s="77">
        <v>31</v>
      </c>
      <c r="BO5" s="77">
        <v>31</v>
      </c>
      <c r="BP5" s="77">
        <v>31</v>
      </c>
      <c r="BQ5" s="77">
        <v>31</v>
      </c>
      <c r="BR5" s="77">
        <v>31</v>
      </c>
      <c r="BS5" s="77">
        <v>31</v>
      </c>
      <c r="BT5" s="77">
        <v>31</v>
      </c>
      <c r="BU5" s="77">
        <v>31</v>
      </c>
      <c r="BV5" s="77">
        <v>31</v>
      </c>
      <c r="BW5" s="77">
        <v>31</v>
      </c>
      <c r="BX5" s="77">
        <v>31</v>
      </c>
      <c r="BY5" s="77">
        <v>31</v>
      </c>
      <c r="BZ5" s="77">
        <v>31</v>
      </c>
      <c r="CA5" s="77">
        <v>31</v>
      </c>
      <c r="CB5" s="77">
        <v>31</v>
      </c>
      <c r="CC5" s="77">
        <v>31</v>
      </c>
      <c r="CD5" s="77">
        <v>31</v>
      </c>
      <c r="CE5" s="77">
        <v>31</v>
      </c>
      <c r="CF5" s="77">
        <v>31</v>
      </c>
      <c r="CG5" s="77">
        <v>31</v>
      </c>
      <c r="CH5" s="77">
        <v>31</v>
      </c>
      <c r="CI5" s="77">
        <v>31</v>
      </c>
      <c r="CJ5" s="77">
        <v>31</v>
      </c>
      <c r="CK5" s="77">
        <v>31</v>
      </c>
      <c r="CL5" s="77">
        <v>31</v>
      </c>
      <c r="CM5" s="77">
        <v>31</v>
      </c>
      <c r="CN5" s="77">
        <v>31</v>
      </c>
      <c r="CO5" s="77">
        <v>31</v>
      </c>
      <c r="CP5" s="77">
        <v>31</v>
      </c>
      <c r="CQ5" s="77">
        <v>31</v>
      </c>
      <c r="CR5" s="77">
        <v>31</v>
      </c>
      <c r="CS5" s="77">
        <v>31</v>
      </c>
      <c r="CT5" s="77">
        <v>31</v>
      </c>
      <c r="CU5" s="77">
        <v>31</v>
      </c>
      <c r="CV5" s="77">
        <v>31</v>
      </c>
      <c r="CW5" s="77">
        <v>31</v>
      </c>
      <c r="CX5" s="77">
        <v>31</v>
      </c>
      <c r="CY5" s="77">
        <v>31</v>
      </c>
      <c r="CZ5" s="77">
        <v>31</v>
      </c>
      <c r="DA5" s="77">
        <v>31</v>
      </c>
      <c r="DB5" s="77">
        <v>31</v>
      </c>
      <c r="DC5" s="77">
        <v>31</v>
      </c>
      <c r="DD5" s="77" t="str">
        <f>TRIM('Extra columns for calculation'!O4)</f>
        <v>Active</v>
      </c>
      <c r="DE5" s="77">
        <f>IF(employee_retention_analysis__version_1__xlsb[[#This Row],[Status]]="Active",1,0)</f>
        <v>1</v>
      </c>
      <c r="DF5" s="77">
        <f>IF(employee_retention_analysis__version_1__xlsb[[#This Row],[Status]]="Not Active",1,0)</f>
        <v>0</v>
      </c>
      <c r="DG5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Apr 2018</v>
      </c>
    </row>
    <row r="6" spans="1:111" ht="15.6" x14ac:dyDescent="0.3">
      <c r="A6" s="9" t="s">
        <v>79</v>
      </c>
      <c r="B6" s="9" t="s">
        <v>80</v>
      </c>
      <c r="C6" s="9" t="s">
        <v>15</v>
      </c>
      <c r="D6" s="9" t="s">
        <v>16</v>
      </c>
      <c r="E6" s="10" t="s">
        <v>81</v>
      </c>
      <c r="F6" s="7">
        <v>43839</v>
      </c>
      <c r="G6" s="10">
        <v>60</v>
      </c>
      <c r="H6" s="7">
        <v>43819</v>
      </c>
      <c r="I6" s="7"/>
      <c r="J6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5 years 10 months</v>
      </c>
      <c r="K6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5.8684931506849312</v>
      </c>
      <c r="L6" s="10" t="s">
        <v>17</v>
      </c>
      <c r="M6" s="10">
        <v>83</v>
      </c>
      <c r="N6" s="23">
        <v>260</v>
      </c>
      <c r="O6" s="40">
        <v>105000</v>
      </c>
      <c r="P6" s="77">
        <v>37</v>
      </c>
      <c r="Q6" s="77">
        <v>37</v>
      </c>
      <c r="R6" s="77">
        <v>37</v>
      </c>
      <c r="S6" s="77">
        <v>37</v>
      </c>
      <c r="T6" s="77">
        <v>37</v>
      </c>
      <c r="U6" s="77">
        <v>37</v>
      </c>
      <c r="V6" s="77">
        <v>37</v>
      </c>
      <c r="W6" s="77">
        <v>37</v>
      </c>
      <c r="X6" s="77">
        <v>37</v>
      </c>
      <c r="Y6" s="77">
        <v>37</v>
      </c>
      <c r="Z6" s="77">
        <v>37</v>
      </c>
      <c r="AA6" s="77">
        <v>37</v>
      </c>
      <c r="AB6" s="77">
        <v>37</v>
      </c>
      <c r="AC6" s="77">
        <v>37</v>
      </c>
      <c r="AD6" s="77">
        <v>37</v>
      </c>
      <c r="AE6" s="77">
        <v>37</v>
      </c>
      <c r="AF6" s="77">
        <v>37</v>
      </c>
      <c r="AG6" s="77">
        <v>37</v>
      </c>
      <c r="AH6" s="77">
        <v>37</v>
      </c>
      <c r="AI6" s="77">
        <v>37</v>
      </c>
      <c r="AJ6" s="77">
        <v>37</v>
      </c>
      <c r="AK6" s="77">
        <v>37</v>
      </c>
      <c r="AL6" s="77">
        <v>37</v>
      </c>
      <c r="AM6" s="77">
        <v>37</v>
      </c>
      <c r="AN6" s="77">
        <v>37</v>
      </c>
      <c r="AO6" s="77">
        <v>37</v>
      </c>
      <c r="AP6" s="77">
        <v>37</v>
      </c>
      <c r="AQ6" s="77">
        <v>37</v>
      </c>
      <c r="AR6" s="77">
        <v>37</v>
      </c>
      <c r="AS6" s="77">
        <v>37</v>
      </c>
      <c r="AT6" s="77">
        <v>37</v>
      </c>
      <c r="AU6" s="77">
        <v>37</v>
      </c>
      <c r="AV6" s="77">
        <v>37</v>
      </c>
      <c r="AW6" s="77">
        <v>37</v>
      </c>
      <c r="AX6" s="77">
        <v>37</v>
      </c>
      <c r="AY6" s="77">
        <v>37</v>
      </c>
      <c r="AZ6" s="77">
        <v>37</v>
      </c>
      <c r="BA6" s="77">
        <v>37</v>
      </c>
      <c r="BB6" s="77">
        <v>37</v>
      </c>
      <c r="BC6" s="77">
        <v>37</v>
      </c>
      <c r="BD6" s="77">
        <v>37</v>
      </c>
      <c r="BE6" s="77">
        <v>37</v>
      </c>
      <c r="BF6" s="77">
        <v>37</v>
      </c>
      <c r="BG6" s="77">
        <v>37</v>
      </c>
      <c r="BH6" s="77">
        <v>37</v>
      </c>
      <c r="BI6" s="77">
        <v>37</v>
      </c>
      <c r="BJ6" s="77">
        <v>37</v>
      </c>
      <c r="BK6" s="77">
        <v>37</v>
      </c>
      <c r="BL6" s="77">
        <v>37</v>
      </c>
      <c r="BM6" s="77">
        <v>37</v>
      </c>
      <c r="BN6" s="77">
        <v>37</v>
      </c>
      <c r="BO6" s="77">
        <v>37</v>
      </c>
      <c r="BP6" s="77">
        <v>37</v>
      </c>
      <c r="BQ6" s="77">
        <v>37</v>
      </c>
      <c r="BR6" s="77">
        <v>37</v>
      </c>
      <c r="BS6" s="77">
        <v>37</v>
      </c>
      <c r="BT6" s="77">
        <v>37</v>
      </c>
      <c r="BU6" s="77">
        <v>37</v>
      </c>
      <c r="BV6" s="77">
        <v>37</v>
      </c>
      <c r="BW6" s="77">
        <v>37</v>
      </c>
      <c r="BX6" s="77">
        <v>37</v>
      </c>
      <c r="BY6" s="77">
        <v>37</v>
      </c>
      <c r="BZ6" s="77">
        <v>37</v>
      </c>
      <c r="CA6" s="77">
        <v>37</v>
      </c>
      <c r="CB6" s="77">
        <v>37</v>
      </c>
      <c r="CC6" s="77">
        <v>37</v>
      </c>
      <c r="CD6" s="77">
        <v>37</v>
      </c>
      <c r="CE6" s="77">
        <v>37</v>
      </c>
      <c r="CF6" s="77">
        <v>37</v>
      </c>
      <c r="CG6" s="77">
        <v>37</v>
      </c>
      <c r="CH6" s="77">
        <v>37</v>
      </c>
      <c r="CI6" s="77">
        <v>37</v>
      </c>
      <c r="CJ6" s="77">
        <v>37</v>
      </c>
      <c r="CK6" s="77">
        <v>37</v>
      </c>
      <c r="CL6" s="77">
        <v>37</v>
      </c>
      <c r="CM6" s="77">
        <v>37</v>
      </c>
      <c r="CN6" s="77">
        <v>37</v>
      </c>
      <c r="CO6" s="77">
        <v>37</v>
      </c>
      <c r="CP6" s="77">
        <v>37</v>
      </c>
      <c r="CQ6" s="77">
        <v>37</v>
      </c>
      <c r="CR6" s="77">
        <v>37</v>
      </c>
      <c r="CS6" s="77">
        <v>37</v>
      </c>
      <c r="CT6" s="77">
        <v>37</v>
      </c>
      <c r="CU6" s="77">
        <v>37</v>
      </c>
      <c r="CV6" s="77">
        <v>37</v>
      </c>
      <c r="CW6" s="77">
        <v>37</v>
      </c>
      <c r="CX6" s="77">
        <v>37</v>
      </c>
      <c r="CY6" s="77">
        <v>37</v>
      </c>
      <c r="CZ6" s="77">
        <v>37</v>
      </c>
      <c r="DA6" s="77">
        <v>37</v>
      </c>
      <c r="DB6" s="77">
        <v>37</v>
      </c>
      <c r="DC6" s="77">
        <v>37</v>
      </c>
      <c r="DD6" s="77" t="str">
        <f>TRIM('Extra columns for calculation'!O5)</f>
        <v>Active</v>
      </c>
      <c r="DE6" s="77">
        <f>IF(employee_retention_analysis__version_1__xlsb[[#This Row],[Status]]="Active",1,0)</f>
        <v>1</v>
      </c>
      <c r="DF6" s="77">
        <f>IF(employee_retention_analysis__version_1__xlsb[[#This Row],[Status]]="Not Active",1,0)</f>
        <v>0</v>
      </c>
      <c r="DG6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Jan 2020</v>
      </c>
    </row>
    <row r="7" spans="1:111" ht="31.2" x14ac:dyDescent="0.3">
      <c r="A7" s="26" t="s">
        <v>82</v>
      </c>
      <c r="B7" s="26" t="s">
        <v>83</v>
      </c>
      <c r="C7" s="26" t="s">
        <v>43</v>
      </c>
      <c r="D7" s="26" t="s">
        <v>84</v>
      </c>
      <c r="E7" s="27" t="s">
        <v>85</v>
      </c>
      <c r="F7" s="28">
        <v>43902</v>
      </c>
      <c r="G7" s="27">
        <v>33</v>
      </c>
      <c r="H7" s="28">
        <v>43835</v>
      </c>
      <c r="I7" s="28"/>
      <c r="J7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5 years 9 months</v>
      </c>
      <c r="K7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5.8246575342465752</v>
      </c>
      <c r="L7" s="27" t="s">
        <v>17</v>
      </c>
      <c r="M7" s="27">
        <v>58</v>
      </c>
      <c r="N7" s="26">
        <v>170</v>
      </c>
      <c r="O7" s="91">
        <v>40000</v>
      </c>
      <c r="P7" s="77">
        <v>34</v>
      </c>
      <c r="Q7" s="77">
        <v>8</v>
      </c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77"/>
      <c r="BO7" s="77"/>
      <c r="BP7" s="77"/>
      <c r="BQ7" s="77"/>
      <c r="BR7" s="77"/>
      <c r="BS7" s="77"/>
      <c r="BT7" s="77"/>
      <c r="BU7" s="77"/>
      <c r="BV7" s="77"/>
      <c r="BW7" s="77"/>
      <c r="BX7" s="77"/>
      <c r="BY7" s="77"/>
      <c r="BZ7" s="77"/>
      <c r="CA7" s="77"/>
      <c r="CB7" s="77"/>
      <c r="CC7" s="77"/>
      <c r="CD7" s="77"/>
      <c r="CE7" s="77"/>
      <c r="CF7" s="77"/>
      <c r="CG7" s="77"/>
      <c r="CH7" s="77"/>
      <c r="CI7" s="77"/>
      <c r="CJ7" s="77"/>
      <c r="CK7" s="77"/>
      <c r="CL7" s="77"/>
      <c r="CM7" s="77"/>
      <c r="CN7" s="77"/>
      <c r="CO7" s="77"/>
      <c r="CP7" s="77"/>
      <c r="CQ7" s="77"/>
      <c r="CR7" s="77"/>
      <c r="CS7" s="77"/>
      <c r="CT7" s="77"/>
      <c r="CU7" s="77"/>
      <c r="CV7" s="77"/>
      <c r="CW7" s="77"/>
      <c r="CX7" s="77"/>
      <c r="CY7" s="77"/>
      <c r="CZ7" s="77"/>
      <c r="DA7" s="77"/>
      <c r="DB7" s="77"/>
      <c r="DC7" s="77"/>
      <c r="DD7" s="77" t="str">
        <f>TRIM('Extra columns for calculation'!O6)</f>
        <v>Active</v>
      </c>
      <c r="DE7" s="77">
        <f>IF(employee_retention_analysis__version_1__xlsb[[#This Row],[Status]]="Active",1,0)</f>
        <v>1</v>
      </c>
      <c r="DF7" s="77">
        <f>IF(employee_retention_analysis__version_1__xlsb[[#This Row],[Status]]="Not Active",1,0)</f>
        <v>0</v>
      </c>
      <c r="DG7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Mar 2020</v>
      </c>
    </row>
    <row r="8" spans="1:111" ht="31.2" x14ac:dyDescent="0.3">
      <c r="A8" s="26" t="s">
        <v>32</v>
      </c>
      <c r="B8" s="26" t="s">
        <v>33</v>
      </c>
      <c r="C8" s="26" t="s">
        <v>34</v>
      </c>
      <c r="D8" s="26" t="s">
        <v>35</v>
      </c>
      <c r="E8" s="27" t="s">
        <v>36</v>
      </c>
      <c r="F8" s="28">
        <v>43243</v>
      </c>
      <c r="G8" s="27">
        <v>15</v>
      </c>
      <c r="H8" s="28">
        <v>43435</v>
      </c>
      <c r="I8" s="28">
        <v>45437</v>
      </c>
      <c r="J8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5 years 5 months</v>
      </c>
      <c r="K8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5.484931506849315</v>
      </c>
      <c r="L8" s="27" t="s">
        <v>17</v>
      </c>
      <c r="M8" s="27">
        <v>68</v>
      </c>
      <c r="N8" s="26">
        <v>100</v>
      </c>
      <c r="O8" s="92">
        <v>104000</v>
      </c>
      <c r="P8" s="26">
        <v>26</v>
      </c>
      <c r="Q8" s="26">
        <v>6</v>
      </c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80" t="str">
        <f>TRIM('Extra columns for calculation'!O7)</f>
        <v>Not Active</v>
      </c>
      <c r="DE8" s="26">
        <f>IF(employee_retention_analysis__version_1__xlsb[[#This Row],[Status]]="Active",1,0)</f>
        <v>0</v>
      </c>
      <c r="DF8" s="26">
        <f>IF(employee_retention_analysis__version_1__xlsb[[#This Row],[Status]]="Not Active",1,0)</f>
        <v>1</v>
      </c>
      <c r="DG8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May 2024</v>
      </c>
    </row>
    <row r="9" spans="1:111" ht="31.2" x14ac:dyDescent="0.3">
      <c r="A9" s="9" t="s">
        <v>97</v>
      </c>
      <c r="B9" s="9" t="s">
        <v>98</v>
      </c>
      <c r="C9" s="9" t="s">
        <v>55</v>
      </c>
      <c r="D9" s="9" t="s">
        <v>99</v>
      </c>
      <c r="E9" s="10" t="s">
        <v>100</v>
      </c>
      <c r="F9" s="7">
        <v>44104</v>
      </c>
      <c r="G9" s="10">
        <v>35</v>
      </c>
      <c r="H9" s="7">
        <v>43981</v>
      </c>
      <c r="I9" s="7"/>
      <c r="J9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5 years 5 months</v>
      </c>
      <c r="K9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5.4246575342465757</v>
      </c>
      <c r="L9" s="10" t="s">
        <v>17</v>
      </c>
      <c r="M9" s="10">
        <v>74</v>
      </c>
      <c r="N9" s="23">
        <v>180</v>
      </c>
      <c r="O9" s="91">
        <v>103000</v>
      </c>
      <c r="P9" s="77">
        <v>36</v>
      </c>
      <c r="Q9" s="77">
        <v>36</v>
      </c>
      <c r="R9" s="77">
        <v>36</v>
      </c>
      <c r="S9" s="77">
        <v>36</v>
      </c>
      <c r="T9" s="77">
        <v>36</v>
      </c>
      <c r="U9" s="77">
        <v>36</v>
      </c>
      <c r="V9" s="77">
        <v>36</v>
      </c>
      <c r="W9" s="77">
        <v>36</v>
      </c>
      <c r="X9" s="77">
        <v>36</v>
      </c>
      <c r="Y9" s="77">
        <v>36</v>
      </c>
      <c r="Z9" s="77">
        <v>36</v>
      </c>
      <c r="AA9" s="77">
        <v>36</v>
      </c>
      <c r="AB9" s="77">
        <v>36</v>
      </c>
      <c r="AC9" s="77">
        <v>36</v>
      </c>
      <c r="AD9" s="77">
        <v>36</v>
      </c>
      <c r="AE9" s="77">
        <v>36</v>
      </c>
      <c r="AF9" s="77">
        <v>36</v>
      </c>
      <c r="AG9" s="77">
        <v>36</v>
      </c>
      <c r="AH9" s="77">
        <v>36</v>
      </c>
      <c r="AI9" s="77">
        <v>36</v>
      </c>
      <c r="AJ9" s="77">
        <v>36</v>
      </c>
      <c r="AK9" s="77">
        <v>36</v>
      </c>
      <c r="AL9" s="77">
        <v>36</v>
      </c>
      <c r="AM9" s="77">
        <v>36</v>
      </c>
      <c r="AN9" s="77">
        <v>36</v>
      </c>
      <c r="AO9" s="77">
        <v>36</v>
      </c>
      <c r="AP9" s="77">
        <v>36</v>
      </c>
      <c r="AQ9" s="77">
        <v>36</v>
      </c>
      <c r="AR9" s="77">
        <v>36</v>
      </c>
      <c r="AS9" s="77">
        <v>36</v>
      </c>
      <c r="AT9" s="77">
        <v>36</v>
      </c>
      <c r="AU9" s="77">
        <v>36</v>
      </c>
      <c r="AV9" s="77">
        <v>36</v>
      </c>
      <c r="AW9" s="77">
        <v>36</v>
      </c>
      <c r="AX9" s="77">
        <v>36</v>
      </c>
      <c r="AY9" s="77">
        <v>36</v>
      </c>
      <c r="AZ9" s="77">
        <v>36</v>
      </c>
      <c r="BA9" s="77">
        <v>36</v>
      </c>
      <c r="BB9" s="77">
        <v>36</v>
      </c>
      <c r="BC9" s="77">
        <v>36</v>
      </c>
      <c r="BD9" s="77">
        <v>36</v>
      </c>
      <c r="BE9" s="77">
        <v>36</v>
      </c>
      <c r="BF9" s="77">
        <v>36</v>
      </c>
      <c r="BG9" s="77">
        <v>36</v>
      </c>
      <c r="BH9" s="77">
        <v>36</v>
      </c>
      <c r="BI9" s="77">
        <v>36</v>
      </c>
      <c r="BJ9" s="77">
        <v>36</v>
      </c>
      <c r="BK9" s="77">
        <v>36</v>
      </c>
      <c r="BL9" s="77">
        <v>36</v>
      </c>
      <c r="BM9" s="77">
        <v>36</v>
      </c>
      <c r="BN9" s="77">
        <v>36</v>
      </c>
      <c r="BO9" s="77">
        <v>36</v>
      </c>
      <c r="BP9" s="77">
        <v>36</v>
      </c>
      <c r="BQ9" s="77">
        <v>36</v>
      </c>
      <c r="BR9" s="77">
        <v>36</v>
      </c>
      <c r="BS9" s="77">
        <v>36</v>
      </c>
      <c r="BT9" s="77">
        <v>36</v>
      </c>
      <c r="BU9" s="77">
        <v>36</v>
      </c>
      <c r="BV9" s="77">
        <v>36</v>
      </c>
      <c r="BW9" s="77">
        <v>36</v>
      </c>
      <c r="BX9" s="77">
        <v>36</v>
      </c>
      <c r="BY9" s="77">
        <v>36</v>
      </c>
      <c r="BZ9" s="77">
        <v>36</v>
      </c>
      <c r="CA9" s="77">
        <v>36</v>
      </c>
      <c r="CB9" s="77">
        <v>36</v>
      </c>
      <c r="CC9" s="77">
        <v>36</v>
      </c>
      <c r="CD9" s="77">
        <v>36</v>
      </c>
      <c r="CE9" s="77">
        <v>36</v>
      </c>
      <c r="CF9" s="77">
        <v>36</v>
      </c>
      <c r="CG9" s="77">
        <v>36</v>
      </c>
      <c r="CH9" s="77">
        <v>36</v>
      </c>
      <c r="CI9" s="77">
        <v>36</v>
      </c>
      <c r="CJ9" s="77">
        <v>36</v>
      </c>
      <c r="CK9" s="77">
        <v>36</v>
      </c>
      <c r="CL9" s="77">
        <v>36</v>
      </c>
      <c r="CM9" s="77">
        <v>36</v>
      </c>
      <c r="CN9" s="77">
        <v>36</v>
      </c>
      <c r="CO9" s="77">
        <v>36</v>
      </c>
      <c r="CP9" s="77">
        <v>36</v>
      </c>
      <c r="CQ9" s="77">
        <v>36</v>
      </c>
      <c r="CR9" s="77">
        <v>36</v>
      </c>
      <c r="CS9" s="77">
        <v>36</v>
      </c>
      <c r="CT9" s="77">
        <v>36</v>
      </c>
      <c r="CU9" s="77">
        <v>36</v>
      </c>
      <c r="CV9" s="77">
        <v>36</v>
      </c>
      <c r="CW9" s="77">
        <v>36</v>
      </c>
      <c r="CX9" s="77">
        <v>36</v>
      </c>
      <c r="CY9" s="77">
        <v>36</v>
      </c>
      <c r="CZ9" s="77">
        <v>36</v>
      </c>
      <c r="DA9" s="77">
        <v>36</v>
      </c>
      <c r="DB9" s="77">
        <v>36</v>
      </c>
      <c r="DC9" s="77">
        <v>36</v>
      </c>
      <c r="DD9" s="77" t="str">
        <f>TRIM('Extra columns for calculation'!O8)</f>
        <v>Active</v>
      </c>
      <c r="DE9" s="77">
        <f>IF(employee_retention_analysis__version_1__xlsb[[#This Row],[Status]]="Active",1,0)</f>
        <v>1</v>
      </c>
      <c r="DF9" s="77">
        <f>IF(employee_retention_analysis__version_1__xlsb[[#This Row],[Status]]="Not Active",1,0)</f>
        <v>0</v>
      </c>
      <c r="DG9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2020</v>
      </c>
    </row>
    <row r="10" spans="1:111" ht="15.6" x14ac:dyDescent="0.3">
      <c r="A10" s="26" t="s">
        <v>13</v>
      </c>
      <c r="B10" s="26" t="s">
        <v>14</v>
      </c>
      <c r="C10" s="26" t="s">
        <v>15</v>
      </c>
      <c r="D10" s="26" t="s">
        <v>16</v>
      </c>
      <c r="E10" s="27" t="s">
        <v>180</v>
      </c>
      <c r="F10" s="31">
        <v>43101</v>
      </c>
      <c r="G10" s="27">
        <v>45</v>
      </c>
      <c r="H10" s="28">
        <v>43164</v>
      </c>
      <c r="I10" s="28">
        <v>45107</v>
      </c>
      <c r="J10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5 years 3 months</v>
      </c>
      <c r="K10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5.3232876712328769</v>
      </c>
      <c r="L10" s="27" t="s">
        <v>17</v>
      </c>
      <c r="M10" s="27">
        <v>57</v>
      </c>
      <c r="N10" s="26">
        <v>180</v>
      </c>
      <c r="O10" s="92">
        <v>102000</v>
      </c>
      <c r="P10" s="26">
        <v>42</v>
      </c>
      <c r="Q10" s="26">
        <v>8</v>
      </c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  <c r="DB10" s="30"/>
      <c r="DC10" s="30"/>
      <c r="DD10" s="80" t="str">
        <f>TRIM('Extra columns for calculation'!O9)</f>
        <v>Not Active</v>
      </c>
      <c r="DE10" s="26">
        <f>IF(employee_retention_analysis__version_1__xlsb[[#This Row],[Status]]="Active",1,0)</f>
        <v>0</v>
      </c>
      <c r="DF10" s="26">
        <f>IF(employee_retention_analysis__version_1__xlsb[[#This Row],[Status]]="Not Active",1,0)</f>
        <v>1</v>
      </c>
      <c r="DG10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Jun 2023</v>
      </c>
    </row>
    <row r="11" spans="1:111" ht="15.6" x14ac:dyDescent="0.3">
      <c r="A11" s="26" t="s">
        <v>47</v>
      </c>
      <c r="B11" s="26" t="s">
        <v>48</v>
      </c>
      <c r="C11" s="26" t="s">
        <v>15</v>
      </c>
      <c r="D11" s="26" t="s">
        <v>16</v>
      </c>
      <c r="E11" s="27" t="s">
        <v>49</v>
      </c>
      <c r="F11" s="28">
        <v>43406</v>
      </c>
      <c r="G11" s="27">
        <v>55</v>
      </c>
      <c r="H11" s="28">
        <v>43536</v>
      </c>
      <c r="I11" s="28">
        <v>45458</v>
      </c>
      <c r="J11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5 years 3 months</v>
      </c>
      <c r="K11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5.2657534246575342</v>
      </c>
      <c r="L11" s="27" t="s">
        <v>17</v>
      </c>
      <c r="M11" s="27">
        <v>70</v>
      </c>
      <c r="N11" s="26">
        <v>240</v>
      </c>
      <c r="O11" s="92">
        <v>100000</v>
      </c>
      <c r="P11" s="26">
        <v>36</v>
      </c>
      <c r="Q11" s="26">
        <v>9</v>
      </c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  <c r="DB11" s="30"/>
      <c r="DC11" s="30"/>
      <c r="DD11" s="26" t="str">
        <f>TRIM('Extra columns for calculation'!O10)</f>
        <v>Not Active</v>
      </c>
      <c r="DE11" s="26">
        <f>IF(employee_retention_analysis__version_1__xlsb[[#This Row],[Status]]="Active",1,0)</f>
        <v>0</v>
      </c>
      <c r="DF11" s="26">
        <f>IF(employee_retention_analysis__version_1__xlsb[[#This Row],[Status]]="Not Active",1,0)</f>
        <v>1</v>
      </c>
      <c r="DG11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Jun 2024</v>
      </c>
    </row>
    <row r="12" spans="1:111" ht="31.2" hidden="1" x14ac:dyDescent="0.3">
      <c r="A12" s="9" t="s">
        <v>58</v>
      </c>
      <c r="B12" s="9" t="s">
        <v>59</v>
      </c>
      <c r="C12" s="9" t="s">
        <v>34</v>
      </c>
      <c r="D12" s="9" t="s">
        <v>60</v>
      </c>
      <c r="E12" s="10" t="s">
        <v>61</v>
      </c>
      <c r="F12" s="7">
        <v>43532</v>
      </c>
      <c r="G12" s="10">
        <v>20</v>
      </c>
      <c r="H12" s="7">
        <v>43621</v>
      </c>
      <c r="I12" s="7">
        <v>43920</v>
      </c>
      <c r="J12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9 months</v>
      </c>
      <c r="K12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0.81917808219178079</v>
      </c>
      <c r="L12" s="10" t="s">
        <v>17</v>
      </c>
      <c r="M12" s="10">
        <v>66</v>
      </c>
      <c r="N12" s="9">
        <v>150</v>
      </c>
      <c r="O12" s="93">
        <v>92000</v>
      </c>
      <c r="P12" s="9">
        <v>38</v>
      </c>
      <c r="Q12" s="9">
        <v>7</v>
      </c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80" t="str">
        <f>TRIM('Extra columns for calculation'!O11)</f>
        <v>Not Active</v>
      </c>
      <c r="DE12" s="9">
        <f>IF(employee_retention_analysis__version_1__xlsb[[#This Row],[Status]]="Active",1,0)</f>
        <v>0</v>
      </c>
      <c r="DF12" s="9">
        <f>IF(employee_retention_analysis__version_1__xlsb[[#This Row],[Status]]="Not Active",1,0)</f>
        <v>1</v>
      </c>
      <c r="DG12" s="9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Mar 2020</v>
      </c>
    </row>
    <row r="13" spans="1:111" ht="31.2" x14ac:dyDescent="0.3">
      <c r="A13" s="9" t="s">
        <v>115</v>
      </c>
      <c r="B13" s="9" t="s">
        <v>116</v>
      </c>
      <c r="C13" s="9" t="s">
        <v>15</v>
      </c>
      <c r="D13" s="9" t="s">
        <v>39</v>
      </c>
      <c r="E13" s="10" t="s">
        <v>117</v>
      </c>
      <c r="F13" s="7">
        <v>44406</v>
      </c>
      <c r="G13" s="10">
        <v>62</v>
      </c>
      <c r="H13" s="7">
        <v>44145</v>
      </c>
      <c r="I13" s="7"/>
      <c r="J13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11 months</v>
      </c>
      <c r="K13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4.9753424657534246</v>
      </c>
      <c r="L13" s="10" t="s">
        <v>17</v>
      </c>
      <c r="M13" s="10">
        <v>81</v>
      </c>
      <c r="N13" s="23">
        <v>220</v>
      </c>
      <c r="O13" s="91">
        <v>95000</v>
      </c>
      <c r="P13" s="77">
        <v>30</v>
      </c>
      <c r="Q13" s="77">
        <v>30</v>
      </c>
      <c r="R13" s="77">
        <v>30</v>
      </c>
      <c r="S13" s="77">
        <v>30</v>
      </c>
      <c r="T13" s="77">
        <v>30</v>
      </c>
      <c r="U13" s="77">
        <v>30</v>
      </c>
      <c r="V13" s="77">
        <v>30</v>
      </c>
      <c r="W13" s="77">
        <v>30</v>
      </c>
      <c r="X13" s="77">
        <v>30</v>
      </c>
      <c r="Y13" s="77">
        <v>30</v>
      </c>
      <c r="Z13" s="77">
        <v>30</v>
      </c>
      <c r="AA13" s="77">
        <v>30</v>
      </c>
      <c r="AB13" s="77">
        <v>30</v>
      </c>
      <c r="AC13" s="77">
        <v>30</v>
      </c>
      <c r="AD13" s="77">
        <v>30</v>
      </c>
      <c r="AE13" s="77">
        <v>30</v>
      </c>
      <c r="AF13" s="77">
        <v>30</v>
      </c>
      <c r="AG13" s="77">
        <v>30</v>
      </c>
      <c r="AH13" s="77">
        <v>30</v>
      </c>
      <c r="AI13" s="77">
        <v>30</v>
      </c>
      <c r="AJ13" s="77">
        <v>30</v>
      </c>
      <c r="AK13" s="77">
        <v>30</v>
      </c>
      <c r="AL13" s="77">
        <v>30</v>
      </c>
      <c r="AM13" s="77">
        <v>30</v>
      </c>
      <c r="AN13" s="77">
        <v>30</v>
      </c>
      <c r="AO13" s="77">
        <v>30</v>
      </c>
      <c r="AP13" s="77">
        <v>30</v>
      </c>
      <c r="AQ13" s="77">
        <v>30</v>
      </c>
      <c r="AR13" s="77">
        <v>30</v>
      </c>
      <c r="AS13" s="77">
        <v>30</v>
      </c>
      <c r="AT13" s="77">
        <v>30</v>
      </c>
      <c r="AU13" s="77">
        <v>30</v>
      </c>
      <c r="AV13" s="77">
        <v>30</v>
      </c>
      <c r="AW13" s="77">
        <v>30</v>
      </c>
      <c r="AX13" s="77">
        <v>30</v>
      </c>
      <c r="AY13" s="77">
        <v>30</v>
      </c>
      <c r="AZ13" s="77">
        <v>30</v>
      </c>
      <c r="BA13" s="77">
        <v>30</v>
      </c>
      <c r="BB13" s="77">
        <v>30</v>
      </c>
      <c r="BC13" s="77">
        <v>30</v>
      </c>
      <c r="BD13" s="77">
        <v>30</v>
      </c>
      <c r="BE13" s="77">
        <v>30</v>
      </c>
      <c r="BF13" s="77">
        <v>30</v>
      </c>
      <c r="BG13" s="77">
        <v>30</v>
      </c>
      <c r="BH13" s="77">
        <v>30</v>
      </c>
      <c r="BI13" s="77">
        <v>30</v>
      </c>
      <c r="BJ13" s="77">
        <v>30</v>
      </c>
      <c r="BK13" s="77">
        <v>30</v>
      </c>
      <c r="BL13" s="77">
        <v>30</v>
      </c>
      <c r="BM13" s="77">
        <v>30</v>
      </c>
      <c r="BN13" s="77">
        <v>30</v>
      </c>
      <c r="BO13" s="77">
        <v>30</v>
      </c>
      <c r="BP13" s="77">
        <v>30</v>
      </c>
      <c r="BQ13" s="77">
        <v>30</v>
      </c>
      <c r="BR13" s="77">
        <v>30</v>
      </c>
      <c r="BS13" s="77">
        <v>30</v>
      </c>
      <c r="BT13" s="77">
        <v>30</v>
      </c>
      <c r="BU13" s="77">
        <v>30</v>
      </c>
      <c r="BV13" s="77">
        <v>30</v>
      </c>
      <c r="BW13" s="77">
        <v>30</v>
      </c>
      <c r="BX13" s="77">
        <v>30</v>
      </c>
      <c r="BY13" s="77">
        <v>30</v>
      </c>
      <c r="BZ13" s="77">
        <v>30</v>
      </c>
      <c r="CA13" s="77">
        <v>30</v>
      </c>
      <c r="CB13" s="77">
        <v>30</v>
      </c>
      <c r="CC13" s="77">
        <v>30</v>
      </c>
      <c r="CD13" s="77">
        <v>30</v>
      </c>
      <c r="CE13" s="77">
        <v>30</v>
      </c>
      <c r="CF13" s="77">
        <v>30</v>
      </c>
      <c r="CG13" s="77">
        <v>30</v>
      </c>
      <c r="CH13" s="77">
        <v>30</v>
      </c>
      <c r="CI13" s="77">
        <v>30</v>
      </c>
      <c r="CJ13" s="77">
        <v>30</v>
      </c>
      <c r="CK13" s="77">
        <v>30</v>
      </c>
      <c r="CL13" s="77">
        <v>30</v>
      </c>
      <c r="CM13" s="77">
        <v>30</v>
      </c>
      <c r="CN13" s="77">
        <v>30</v>
      </c>
      <c r="CO13" s="77">
        <v>30</v>
      </c>
      <c r="CP13" s="77">
        <v>30</v>
      </c>
      <c r="CQ13" s="77">
        <v>30</v>
      </c>
      <c r="CR13" s="77">
        <v>30</v>
      </c>
      <c r="CS13" s="77">
        <v>30</v>
      </c>
      <c r="CT13" s="77">
        <v>30</v>
      </c>
      <c r="CU13" s="77">
        <v>30</v>
      </c>
      <c r="CV13" s="77">
        <v>30</v>
      </c>
      <c r="CW13" s="77">
        <v>30</v>
      </c>
      <c r="CX13" s="77">
        <v>30</v>
      </c>
      <c r="CY13" s="77">
        <v>30</v>
      </c>
      <c r="CZ13" s="77">
        <v>30</v>
      </c>
      <c r="DA13" s="77">
        <v>30</v>
      </c>
      <c r="DB13" s="77">
        <v>30</v>
      </c>
      <c r="DC13" s="77">
        <v>30</v>
      </c>
      <c r="DD13" s="77" t="str">
        <f>TRIM('Extra columns for calculation'!O12)</f>
        <v>Active</v>
      </c>
      <c r="DE13" s="77">
        <f>IF(employee_retention_analysis__version_1__xlsb[[#This Row],[Status]]="Active",1,0)</f>
        <v>1</v>
      </c>
      <c r="DF13" s="77">
        <f>IF(employee_retention_analysis__version_1__xlsb[[#This Row],[Status]]="Not Active",1,0)</f>
        <v>0</v>
      </c>
      <c r="DG13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Jul 2021</v>
      </c>
    </row>
    <row r="14" spans="1:111" ht="31.2" x14ac:dyDescent="0.3">
      <c r="A14" s="26" t="s">
        <v>118</v>
      </c>
      <c r="B14" s="26" t="s">
        <v>119</v>
      </c>
      <c r="C14" s="26" t="s">
        <v>34</v>
      </c>
      <c r="D14" s="26" t="s">
        <v>60</v>
      </c>
      <c r="E14" s="27" t="s">
        <v>120</v>
      </c>
      <c r="F14" s="28">
        <v>44448</v>
      </c>
      <c r="G14" s="27">
        <v>22</v>
      </c>
      <c r="H14" s="28">
        <v>44180</v>
      </c>
      <c r="I14" s="28"/>
      <c r="J14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10 months</v>
      </c>
      <c r="K14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4.8794520547945206</v>
      </c>
      <c r="L14" s="27" t="s">
        <v>17</v>
      </c>
      <c r="M14" s="27">
        <v>67</v>
      </c>
      <c r="N14" s="23">
        <v>160</v>
      </c>
      <c r="O14" s="91">
        <v>75000</v>
      </c>
      <c r="P14" s="77">
        <v>37</v>
      </c>
      <c r="Q14" s="77">
        <v>8</v>
      </c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  <c r="CY14" s="77"/>
      <c r="CZ14" s="77"/>
      <c r="DA14" s="77"/>
      <c r="DB14" s="77"/>
      <c r="DC14" s="77"/>
      <c r="DD14" s="77" t="str">
        <f>TRIM('Extra columns for calculation'!O13)</f>
        <v>Active</v>
      </c>
      <c r="DE14" s="77">
        <f>IF(employee_retention_analysis__version_1__xlsb[[#This Row],[Status]]="Active",1,0)</f>
        <v>1</v>
      </c>
      <c r="DF14" s="77">
        <f>IF(employee_retention_analysis__version_1__xlsb[[#This Row],[Status]]="Not Active",1,0)</f>
        <v>0</v>
      </c>
      <c r="DG14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2021</v>
      </c>
    </row>
    <row r="15" spans="1:111" ht="31.2" x14ac:dyDescent="0.3">
      <c r="A15" s="9" t="s">
        <v>121</v>
      </c>
      <c r="B15" s="9" t="s">
        <v>122</v>
      </c>
      <c r="C15" s="9" t="s">
        <v>29</v>
      </c>
      <c r="D15" s="9" t="s">
        <v>88</v>
      </c>
      <c r="E15" s="10" t="s">
        <v>123</v>
      </c>
      <c r="F15" s="7">
        <v>44497</v>
      </c>
      <c r="G15" s="10">
        <v>36</v>
      </c>
      <c r="H15" s="7">
        <v>44206</v>
      </c>
      <c r="I15" s="7"/>
      <c r="J15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9 months</v>
      </c>
      <c r="K15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4.8082191780821919</v>
      </c>
      <c r="L15" s="10" t="s">
        <v>17</v>
      </c>
      <c r="M15" s="9">
        <v>50</v>
      </c>
      <c r="N15" s="9">
        <v>230</v>
      </c>
      <c r="O15" s="91">
        <v>90000</v>
      </c>
      <c r="P15" s="77">
        <v>38</v>
      </c>
      <c r="Q15" s="77">
        <v>9</v>
      </c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7"/>
      <c r="BE15" s="77"/>
      <c r="BF15" s="77"/>
      <c r="BG15" s="77"/>
      <c r="BH15" s="77"/>
      <c r="BI15" s="77"/>
      <c r="BJ15" s="77"/>
      <c r="BK15" s="77"/>
      <c r="BL15" s="77"/>
      <c r="BM15" s="77"/>
      <c r="BN15" s="77"/>
      <c r="BO15" s="77"/>
      <c r="BP15" s="77"/>
      <c r="BQ15" s="77"/>
      <c r="BR15" s="77"/>
      <c r="BS15" s="77"/>
      <c r="BT15" s="77"/>
      <c r="BU15" s="77"/>
      <c r="BV15" s="77"/>
      <c r="BW15" s="77"/>
      <c r="BX15" s="77"/>
      <c r="BY15" s="77"/>
      <c r="BZ15" s="77"/>
      <c r="CA15" s="77"/>
      <c r="CB15" s="77"/>
      <c r="CC15" s="77"/>
      <c r="CD15" s="77"/>
      <c r="CE15" s="77"/>
      <c r="CF15" s="77"/>
      <c r="CG15" s="77"/>
      <c r="CH15" s="77"/>
      <c r="CI15" s="77"/>
      <c r="CJ15" s="77"/>
      <c r="CK15" s="77"/>
      <c r="CL15" s="77"/>
      <c r="CM15" s="77"/>
      <c r="CN15" s="77"/>
      <c r="CO15" s="77"/>
      <c r="CP15" s="77"/>
      <c r="CQ15" s="77"/>
      <c r="CR15" s="77"/>
      <c r="CS15" s="77"/>
      <c r="CT15" s="77"/>
      <c r="CU15" s="77"/>
      <c r="CV15" s="77"/>
      <c r="CW15" s="77"/>
      <c r="CX15" s="77"/>
      <c r="CY15" s="77"/>
      <c r="CZ15" s="77"/>
      <c r="DA15" s="77"/>
      <c r="DB15" s="77"/>
      <c r="DC15" s="77"/>
      <c r="DD15" s="77" t="str">
        <f>TRIM('Extra columns for calculation'!O14)</f>
        <v>Active</v>
      </c>
      <c r="DE15" s="77">
        <f>IF(employee_retention_analysis__version_1__xlsb[[#This Row],[Status]]="Active",1,0)</f>
        <v>1</v>
      </c>
      <c r="DF15" s="77">
        <f>IF(employee_retention_analysis__version_1__xlsb[[#This Row],[Status]]="Not Active",1,0)</f>
        <v>0</v>
      </c>
      <c r="DG15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Oct 2021</v>
      </c>
    </row>
    <row r="16" spans="1:111" ht="31.2" x14ac:dyDescent="0.3">
      <c r="A16" s="9" t="s">
        <v>124</v>
      </c>
      <c r="B16" s="9" t="s">
        <v>125</v>
      </c>
      <c r="C16" s="9" t="s">
        <v>43</v>
      </c>
      <c r="D16" s="9" t="s">
        <v>126</v>
      </c>
      <c r="E16" s="10" t="s">
        <v>127</v>
      </c>
      <c r="F16" s="7">
        <v>44540</v>
      </c>
      <c r="G16" s="10">
        <v>50</v>
      </c>
      <c r="H16" s="7">
        <v>44255</v>
      </c>
      <c r="I16" s="7"/>
      <c r="J16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8 months</v>
      </c>
      <c r="K16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4.6739726027397257</v>
      </c>
      <c r="L16" s="10" t="s">
        <v>17</v>
      </c>
      <c r="M16" s="10">
        <v>66</v>
      </c>
      <c r="N16" s="23">
        <v>250</v>
      </c>
      <c r="O16" s="91">
        <v>65000</v>
      </c>
      <c r="P16" s="77">
        <v>41</v>
      </c>
      <c r="Q16" s="77">
        <v>41</v>
      </c>
      <c r="R16" s="77">
        <v>41</v>
      </c>
      <c r="S16" s="77">
        <v>41</v>
      </c>
      <c r="T16" s="77">
        <v>41</v>
      </c>
      <c r="U16" s="77">
        <v>41</v>
      </c>
      <c r="V16" s="77">
        <v>41</v>
      </c>
      <c r="W16" s="77">
        <v>41</v>
      </c>
      <c r="X16" s="77">
        <v>41</v>
      </c>
      <c r="Y16" s="77">
        <v>41</v>
      </c>
      <c r="Z16" s="77">
        <v>41</v>
      </c>
      <c r="AA16" s="77">
        <v>41</v>
      </c>
      <c r="AB16" s="77">
        <v>41</v>
      </c>
      <c r="AC16" s="77">
        <v>41</v>
      </c>
      <c r="AD16" s="77">
        <v>41</v>
      </c>
      <c r="AE16" s="77">
        <v>41</v>
      </c>
      <c r="AF16" s="77">
        <v>41</v>
      </c>
      <c r="AG16" s="77">
        <v>41</v>
      </c>
      <c r="AH16" s="77">
        <v>41</v>
      </c>
      <c r="AI16" s="77">
        <v>41</v>
      </c>
      <c r="AJ16" s="77">
        <v>41</v>
      </c>
      <c r="AK16" s="77">
        <v>41</v>
      </c>
      <c r="AL16" s="77">
        <v>41</v>
      </c>
      <c r="AM16" s="77">
        <v>41</v>
      </c>
      <c r="AN16" s="77">
        <v>41</v>
      </c>
      <c r="AO16" s="77">
        <v>41</v>
      </c>
      <c r="AP16" s="77">
        <v>41</v>
      </c>
      <c r="AQ16" s="77">
        <v>41</v>
      </c>
      <c r="AR16" s="77">
        <v>41</v>
      </c>
      <c r="AS16" s="77">
        <v>41</v>
      </c>
      <c r="AT16" s="77">
        <v>41</v>
      </c>
      <c r="AU16" s="77">
        <v>41</v>
      </c>
      <c r="AV16" s="77">
        <v>41</v>
      </c>
      <c r="AW16" s="77">
        <v>41</v>
      </c>
      <c r="AX16" s="77">
        <v>41</v>
      </c>
      <c r="AY16" s="77">
        <v>41</v>
      </c>
      <c r="AZ16" s="77">
        <v>41</v>
      </c>
      <c r="BA16" s="77">
        <v>41</v>
      </c>
      <c r="BB16" s="77">
        <v>41</v>
      </c>
      <c r="BC16" s="77">
        <v>41</v>
      </c>
      <c r="BD16" s="77">
        <v>41</v>
      </c>
      <c r="BE16" s="77">
        <v>41</v>
      </c>
      <c r="BF16" s="77">
        <v>41</v>
      </c>
      <c r="BG16" s="77">
        <v>41</v>
      </c>
      <c r="BH16" s="77">
        <v>41</v>
      </c>
      <c r="BI16" s="77">
        <v>41</v>
      </c>
      <c r="BJ16" s="77">
        <v>41</v>
      </c>
      <c r="BK16" s="77">
        <v>41</v>
      </c>
      <c r="BL16" s="77">
        <v>41</v>
      </c>
      <c r="BM16" s="77">
        <v>41</v>
      </c>
      <c r="BN16" s="77">
        <v>41</v>
      </c>
      <c r="BO16" s="77">
        <v>41</v>
      </c>
      <c r="BP16" s="77">
        <v>41</v>
      </c>
      <c r="BQ16" s="77">
        <v>41</v>
      </c>
      <c r="BR16" s="77">
        <v>41</v>
      </c>
      <c r="BS16" s="77">
        <v>41</v>
      </c>
      <c r="BT16" s="77">
        <v>41</v>
      </c>
      <c r="BU16" s="77">
        <v>41</v>
      </c>
      <c r="BV16" s="77">
        <v>41</v>
      </c>
      <c r="BW16" s="77">
        <v>41</v>
      </c>
      <c r="BX16" s="77">
        <v>41</v>
      </c>
      <c r="BY16" s="77">
        <v>41</v>
      </c>
      <c r="BZ16" s="77">
        <v>41</v>
      </c>
      <c r="CA16" s="77">
        <v>41</v>
      </c>
      <c r="CB16" s="77">
        <v>41</v>
      </c>
      <c r="CC16" s="77">
        <v>41</v>
      </c>
      <c r="CD16" s="77">
        <v>41</v>
      </c>
      <c r="CE16" s="77">
        <v>41</v>
      </c>
      <c r="CF16" s="77">
        <v>41</v>
      </c>
      <c r="CG16" s="77">
        <v>41</v>
      </c>
      <c r="CH16" s="77">
        <v>41</v>
      </c>
      <c r="CI16" s="77">
        <v>41</v>
      </c>
      <c r="CJ16" s="77">
        <v>41</v>
      </c>
      <c r="CK16" s="77">
        <v>41</v>
      </c>
      <c r="CL16" s="77">
        <v>41</v>
      </c>
      <c r="CM16" s="77">
        <v>41</v>
      </c>
      <c r="CN16" s="77">
        <v>41</v>
      </c>
      <c r="CO16" s="77">
        <v>41</v>
      </c>
      <c r="CP16" s="77">
        <v>41</v>
      </c>
      <c r="CQ16" s="77">
        <v>41</v>
      </c>
      <c r="CR16" s="77">
        <v>41</v>
      </c>
      <c r="CS16" s="77">
        <v>41</v>
      </c>
      <c r="CT16" s="77">
        <v>41</v>
      </c>
      <c r="CU16" s="77">
        <v>41</v>
      </c>
      <c r="CV16" s="77">
        <v>41</v>
      </c>
      <c r="CW16" s="77">
        <v>41</v>
      </c>
      <c r="CX16" s="77">
        <v>41</v>
      </c>
      <c r="CY16" s="77">
        <v>41</v>
      </c>
      <c r="CZ16" s="77">
        <v>41</v>
      </c>
      <c r="DA16" s="77">
        <v>41</v>
      </c>
      <c r="DB16" s="77">
        <v>41</v>
      </c>
      <c r="DC16" s="77">
        <v>41</v>
      </c>
      <c r="DD16" s="77" t="str">
        <f>TRIM('Extra columns for calculation'!O15)</f>
        <v>Active</v>
      </c>
      <c r="DE16" s="77">
        <f>IF(employee_retention_analysis__version_1__xlsb[[#This Row],[Status]]="Active",1,0)</f>
        <v>1</v>
      </c>
      <c r="DF16" s="77">
        <f>IF(employee_retention_analysis__version_1__xlsb[[#This Row],[Status]]="Not Active",1,0)</f>
        <v>0</v>
      </c>
      <c r="DG16" s="77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2021</v>
      </c>
    </row>
    <row r="17" spans="1:111" ht="31.2" x14ac:dyDescent="0.3">
      <c r="A17" s="9" t="s">
        <v>86</v>
      </c>
      <c r="B17" s="9" t="s">
        <v>87</v>
      </c>
      <c r="C17" s="9" t="s">
        <v>29</v>
      </c>
      <c r="D17" s="9" t="s">
        <v>88</v>
      </c>
      <c r="E17" s="10" t="s">
        <v>89</v>
      </c>
      <c r="F17" s="7">
        <v>43949</v>
      </c>
      <c r="G17" s="10">
        <v>38</v>
      </c>
      <c r="H17" s="7">
        <v>43881</v>
      </c>
      <c r="I17" s="7">
        <v>45534</v>
      </c>
      <c r="J17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6 months</v>
      </c>
      <c r="K17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4.5287671232876709</v>
      </c>
      <c r="L17" s="10" t="s">
        <v>17</v>
      </c>
      <c r="M17" s="10">
        <v>68</v>
      </c>
      <c r="N17" s="9">
        <v>200</v>
      </c>
      <c r="O17" s="93">
        <v>69000</v>
      </c>
      <c r="P17" s="9">
        <v>32</v>
      </c>
      <c r="Q17" s="9">
        <v>8</v>
      </c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80" t="str">
        <f>TRIM('Extra columns for calculation'!O16)</f>
        <v>Not Active</v>
      </c>
      <c r="DE17" s="9">
        <f>IF(employee_retention_analysis__version_1__xlsb[[#This Row],[Status]]="Active",1,0)</f>
        <v>0</v>
      </c>
      <c r="DF17" s="9">
        <f>IF(employee_retention_analysis__version_1__xlsb[[#This Row],[Status]]="Not Active",1,0)</f>
        <v>1</v>
      </c>
      <c r="DG17" s="9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Aug 2024</v>
      </c>
    </row>
    <row r="18" spans="1:111" ht="31.2" x14ac:dyDescent="0.3">
      <c r="A18" s="9" t="s">
        <v>142</v>
      </c>
      <c r="B18" s="9" t="s">
        <v>143</v>
      </c>
      <c r="C18" s="9" t="s">
        <v>34</v>
      </c>
      <c r="D18" s="9" t="s">
        <v>74</v>
      </c>
      <c r="E18" s="10" t="s">
        <v>144</v>
      </c>
      <c r="F18" s="7">
        <v>44762</v>
      </c>
      <c r="G18" s="10">
        <v>18</v>
      </c>
      <c r="H18" s="7">
        <v>44387</v>
      </c>
      <c r="I18" s="7"/>
      <c r="J18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3 months</v>
      </c>
      <c r="K18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4.3123287671232875</v>
      </c>
      <c r="L18" s="10" t="s">
        <v>17</v>
      </c>
      <c r="M18" s="10">
        <v>55</v>
      </c>
      <c r="N18" s="23">
        <v>130</v>
      </c>
      <c r="O18" s="91">
        <v>91000</v>
      </c>
      <c r="P18" s="81">
        <v>26</v>
      </c>
      <c r="Q18" s="77">
        <v>26</v>
      </c>
      <c r="R18" s="77">
        <v>26</v>
      </c>
      <c r="S18" s="77">
        <v>26</v>
      </c>
      <c r="T18" s="77">
        <v>26</v>
      </c>
      <c r="U18" s="77">
        <v>26</v>
      </c>
      <c r="V18" s="77">
        <v>26</v>
      </c>
      <c r="W18" s="77">
        <v>26</v>
      </c>
      <c r="X18" s="77">
        <v>26</v>
      </c>
      <c r="Y18" s="77">
        <v>26</v>
      </c>
      <c r="Z18" s="77">
        <v>26</v>
      </c>
      <c r="AA18" s="77">
        <v>26</v>
      </c>
      <c r="AB18" s="77">
        <v>26</v>
      </c>
      <c r="AC18" s="77">
        <v>26</v>
      </c>
      <c r="AD18" s="77">
        <v>26</v>
      </c>
      <c r="AE18" s="77">
        <v>26</v>
      </c>
      <c r="AF18" s="77">
        <v>26</v>
      </c>
      <c r="AG18" s="77">
        <v>26</v>
      </c>
      <c r="AH18" s="77">
        <v>26</v>
      </c>
      <c r="AI18" s="77">
        <v>26</v>
      </c>
      <c r="AJ18" s="77">
        <v>26</v>
      </c>
      <c r="AK18" s="77">
        <v>26</v>
      </c>
      <c r="AL18" s="77">
        <v>26</v>
      </c>
      <c r="AM18" s="77">
        <v>26</v>
      </c>
      <c r="AN18" s="77">
        <v>26</v>
      </c>
      <c r="AO18" s="77">
        <v>26</v>
      </c>
      <c r="AP18" s="77">
        <v>26</v>
      </c>
      <c r="AQ18" s="77">
        <v>26</v>
      </c>
      <c r="AR18" s="77">
        <v>26</v>
      </c>
      <c r="AS18" s="77">
        <v>26</v>
      </c>
      <c r="AT18" s="77">
        <v>26</v>
      </c>
      <c r="AU18" s="77">
        <v>26</v>
      </c>
      <c r="AV18" s="77">
        <v>26</v>
      </c>
      <c r="AW18" s="77">
        <v>26</v>
      </c>
      <c r="AX18" s="77">
        <v>26</v>
      </c>
      <c r="AY18" s="77">
        <v>26</v>
      </c>
      <c r="AZ18" s="77">
        <v>26</v>
      </c>
      <c r="BA18" s="77">
        <v>26</v>
      </c>
      <c r="BB18" s="77">
        <v>26</v>
      </c>
      <c r="BC18" s="77">
        <v>26</v>
      </c>
      <c r="BD18" s="77">
        <v>26</v>
      </c>
      <c r="BE18" s="77">
        <v>26</v>
      </c>
      <c r="BF18" s="77">
        <v>26</v>
      </c>
      <c r="BG18" s="77">
        <v>26</v>
      </c>
      <c r="BH18" s="77">
        <v>26</v>
      </c>
      <c r="BI18" s="77">
        <v>26</v>
      </c>
      <c r="BJ18" s="77">
        <v>26</v>
      </c>
      <c r="BK18" s="77">
        <v>26</v>
      </c>
      <c r="BL18" s="77">
        <v>26</v>
      </c>
      <c r="BM18" s="77">
        <v>26</v>
      </c>
      <c r="BN18" s="77">
        <v>26</v>
      </c>
      <c r="BO18" s="77">
        <v>26</v>
      </c>
      <c r="BP18" s="77">
        <v>26</v>
      </c>
      <c r="BQ18" s="77">
        <v>26</v>
      </c>
      <c r="BR18" s="77">
        <v>26</v>
      </c>
      <c r="BS18" s="77">
        <v>26</v>
      </c>
      <c r="BT18" s="77">
        <v>26</v>
      </c>
      <c r="BU18" s="77">
        <v>26</v>
      </c>
      <c r="BV18" s="77">
        <v>26</v>
      </c>
      <c r="BW18" s="77">
        <v>26</v>
      </c>
      <c r="BX18" s="77">
        <v>26</v>
      </c>
      <c r="BY18" s="77">
        <v>26</v>
      </c>
      <c r="BZ18" s="77">
        <v>26</v>
      </c>
      <c r="CA18" s="77">
        <v>26</v>
      </c>
      <c r="CB18" s="77">
        <v>26</v>
      </c>
      <c r="CC18" s="77">
        <v>26</v>
      </c>
      <c r="CD18" s="77">
        <v>26</v>
      </c>
      <c r="CE18" s="77">
        <v>26</v>
      </c>
      <c r="CF18" s="77">
        <v>26</v>
      </c>
      <c r="CG18" s="77">
        <v>26</v>
      </c>
      <c r="CH18" s="77">
        <v>26</v>
      </c>
      <c r="CI18" s="77">
        <v>26</v>
      </c>
      <c r="CJ18" s="77">
        <v>26</v>
      </c>
      <c r="CK18" s="77">
        <v>26</v>
      </c>
      <c r="CL18" s="77">
        <v>26</v>
      </c>
      <c r="CM18" s="77">
        <v>26</v>
      </c>
      <c r="CN18" s="77">
        <v>26</v>
      </c>
      <c r="CO18" s="77">
        <v>26</v>
      </c>
      <c r="CP18" s="77">
        <v>26</v>
      </c>
      <c r="CQ18" s="77">
        <v>26</v>
      </c>
      <c r="CR18" s="77">
        <v>26</v>
      </c>
      <c r="CS18" s="77">
        <v>26</v>
      </c>
      <c r="CT18" s="77">
        <v>26</v>
      </c>
      <c r="CU18" s="77">
        <v>26</v>
      </c>
      <c r="CV18" s="77">
        <v>26</v>
      </c>
      <c r="CW18" s="77">
        <v>26</v>
      </c>
      <c r="CX18" s="77">
        <v>26</v>
      </c>
      <c r="CY18" s="77">
        <v>26</v>
      </c>
      <c r="CZ18" s="77">
        <v>26</v>
      </c>
      <c r="DA18" s="77">
        <v>26</v>
      </c>
      <c r="DB18" s="77">
        <v>26</v>
      </c>
      <c r="DC18" s="77">
        <v>26</v>
      </c>
      <c r="DD18" s="77" t="str">
        <f>TRIM('Extra columns for calculation'!O17)</f>
        <v>Active</v>
      </c>
      <c r="DE18" s="77">
        <f>IF(employee_retention_analysis__version_1__xlsb[[#This Row],[Status]]="Active",1,0)</f>
        <v>1</v>
      </c>
      <c r="DF18" s="77">
        <f>IF(employee_retention_analysis__version_1__xlsb[[#This Row],[Status]]="Not Active",1,0)</f>
        <v>0</v>
      </c>
      <c r="DG18" s="81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Jul 2022</v>
      </c>
    </row>
    <row r="19" spans="1:111" ht="31.2" x14ac:dyDescent="0.3">
      <c r="A19" s="26" t="s">
        <v>53</v>
      </c>
      <c r="B19" s="26" t="s">
        <v>54</v>
      </c>
      <c r="C19" s="26" t="s">
        <v>55</v>
      </c>
      <c r="D19" s="26" t="s">
        <v>56</v>
      </c>
      <c r="E19" s="27" t="s">
        <v>57</v>
      </c>
      <c r="F19" s="28">
        <v>43480</v>
      </c>
      <c r="G19" s="27">
        <v>25</v>
      </c>
      <c r="H19" s="28">
        <v>43603</v>
      </c>
      <c r="I19" s="28">
        <v>45174</v>
      </c>
      <c r="J19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3 months</v>
      </c>
      <c r="K19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4.3041095890410963</v>
      </c>
      <c r="L19" s="27" t="s">
        <v>17</v>
      </c>
      <c r="M19" s="27">
        <v>61</v>
      </c>
      <c r="N19" s="26">
        <v>160</v>
      </c>
      <c r="O19" s="92">
        <v>88000</v>
      </c>
      <c r="P19" s="26">
        <v>34</v>
      </c>
      <c r="Q19" s="26">
        <v>8</v>
      </c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  <c r="DB19" s="30"/>
      <c r="DC19" s="30"/>
      <c r="DD19" s="26" t="str">
        <f>TRIM('Extra columns for calculation'!O18)</f>
        <v>Not Active</v>
      </c>
      <c r="DE19" s="26">
        <f>IF(employee_retention_analysis__version_1__xlsb[[#This Row],[Status]]="Active",1,0)</f>
        <v>0</v>
      </c>
      <c r="DF19" s="26">
        <f>IF(employee_retention_analysis__version_1__xlsb[[#This Row],[Status]]="Not Active",1,0)</f>
        <v>1</v>
      </c>
      <c r="DG19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2023</v>
      </c>
    </row>
    <row r="20" spans="1:111" ht="31.2" x14ac:dyDescent="0.3">
      <c r="A20" s="26" t="s">
        <v>69</v>
      </c>
      <c r="B20" s="26" t="s">
        <v>70</v>
      </c>
      <c r="C20" s="26" t="s">
        <v>15</v>
      </c>
      <c r="D20" s="26" t="s">
        <v>39</v>
      </c>
      <c r="E20" s="27" t="s">
        <v>71</v>
      </c>
      <c r="F20" s="28">
        <v>43682</v>
      </c>
      <c r="G20" s="27">
        <v>50</v>
      </c>
      <c r="H20" s="28">
        <v>43710</v>
      </c>
      <c r="I20" s="28">
        <v>45252</v>
      </c>
      <c r="J20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4 years 2 months</v>
      </c>
      <c r="K20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4.2246575342465755</v>
      </c>
      <c r="L20" s="27" t="s">
        <v>46</v>
      </c>
      <c r="M20" s="27">
        <v>78</v>
      </c>
      <c r="N20" s="26">
        <v>190</v>
      </c>
      <c r="O20" s="92">
        <v>87000</v>
      </c>
      <c r="P20" s="26">
        <v>31</v>
      </c>
      <c r="Q20" s="26">
        <v>9</v>
      </c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26" t="str">
        <f>TRIM('Extra columns for calculation'!O19)</f>
        <v>Not Active</v>
      </c>
      <c r="DE20" s="26">
        <f>IF(employee_retention_analysis__version_1__xlsb[[#This Row],[Status]]="Active",1,0)</f>
        <v>0</v>
      </c>
      <c r="DF20" s="26">
        <f>IF(employee_retention_analysis__version_1__xlsb[[#This Row],[Status]]="Not Active",1,0)</f>
        <v>1</v>
      </c>
      <c r="DG20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Nov 2023</v>
      </c>
    </row>
    <row r="21" spans="1:111" ht="15.6" x14ac:dyDescent="0.3">
      <c r="A21" s="9" t="s">
        <v>151</v>
      </c>
      <c r="B21" s="9" t="s">
        <v>152</v>
      </c>
      <c r="C21" s="9" t="s">
        <v>24</v>
      </c>
      <c r="D21" s="9" t="s">
        <v>153</v>
      </c>
      <c r="E21" s="10" t="s">
        <v>154</v>
      </c>
      <c r="F21" s="7">
        <v>44902</v>
      </c>
      <c r="G21" s="10">
        <v>22</v>
      </c>
      <c r="H21" s="7">
        <v>44481</v>
      </c>
      <c r="I21" s="7"/>
      <c r="J21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 xml:space="preserve">4 years </v>
      </c>
      <c r="K21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4.0547945205479454</v>
      </c>
      <c r="L21" s="10" t="s">
        <v>17</v>
      </c>
      <c r="M21" s="10">
        <v>52</v>
      </c>
      <c r="N21" s="9">
        <v>140</v>
      </c>
      <c r="O21" s="91">
        <v>49000</v>
      </c>
      <c r="P21" s="81">
        <v>27</v>
      </c>
      <c r="Q21" s="77">
        <v>8</v>
      </c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7"/>
      <c r="BT21" s="77"/>
      <c r="BU21" s="77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7"/>
      <c r="CG21" s="77"/>
      <c r="CH21" s="77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7"/>
      <c r="DC21" s="77"/>
      <c r="DD21" s="77" t="str">
        <f>TRIM('Extra columns for calculation'!O20)</f>
        <v>Active</v>
      </c>
      <c r="DE21" s="77">
        <f>IF(employee_retention_analysis__version_1__xlsb[[#This Row],[Status]]="Active",1,0)</f>
        <v>1</v>
      </c>
      <c r="DF21" s="77">
        <f>IF(employee_retention_analysis__version_1__xlsb[[#This Row],[Status]]="Not Active",1,0)</f>
        <v>0</v>
      </c>
      <c r="DG21" s="81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2022</v>
      </c>
    </row>
    <row r="22" spans="1:111" ht="31.2" x14ac:dyDescent="0.3">
      <c r="A22" s="9" t="s">
        <v>155</v>
      </c>
      <c r="B22" s="9" t="s">
        <v>156</v>
      </c>
      <c r="C22" s="9" t="s">
        <v>55</v>
      </c>
      <c r="D22" s="9" t="s">
        <v>56</v>
      </c>
      <c r="E22" s="10" t="s">
        <v>157</v>
      </c>
      <c r="F22" s="7">
        <v>44939</v>
      </c>
      <c r="G22" s="10">
        <v>30</v>
      </c>
      <c r="H22" s="7">
        <v>44518</v>
      </c>
      <c r="I22" s="7"/>
      <c r="J22" s="9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11 months</v>
      </c>
      <c r="K22" s="13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3.9534246575342467</v>
      </c>
      <c r="L22" s="10" t="s">
        <v>46</v>
      </c>
      <c r="M22" s="10">
        <v>51</v>
      </c>
      <c r="N22" s="9">
        <v>150</v>
      </c>
      <c r="O22" s="91">
        <v>40000</v>
      </c>
      <c r="P22" s="81">
        <v>32</v>
      </c>
      <c r="Q22" s="77">
        <v>32</v>
      </c>
      <c r="R22" s="77">
        <v>32</v>
      </c>
      <c r="S22" s="77">
        <v>32</v>
      </c>
      <c r="T22" s="77">
        <v>32</v>
      </c>
      <c r="U22" s="77">
        <v>32</v>
      </c>
      <c r="V22" s="77">
        <v>32</v>
      </c>
      <c r="W22" s="77">
        <v>32</v>
      </c>
      <c r="X22" s="77">
        <v>32</v>
      </c>
      <c r="Y22" s="77">
        <v>32</v>
      </c>
      <c r="Z22" s="77">
        <v>32</v>
      </c>
      <c r="AA22" s="77">
        <v>32</v>
      </c>
      <c r="AB22" s="77">
        <v>32</v>
      </c>
      <c r="AC22" s="77">
        <v>32</v>
      </c>
      <c r="AD22" s="77">
        <v>32</v>
      </c>
      <c r="AE22" s="77">
        <v>32</v>
      </c>
      <c r="AF22" s="77">
        <v>32</v>
      </c>
      <c r="AG22" s="77">
        <v>32</v>
      </c>
      <c r="AH22" s="77">
        <v>32</v>
      </c>
      <c r="AI22" s="77">
        <v>32</v>
      </c>
      <c r="AJ22" s="77">
        <v>32</v>
      </c>
      <c r="AK22" s="77">
        <v>32</v>
      </c>
      <c r="AL22" s="77">
        <v>32</v>
      </c>
      <c r="AM22" s="77">
        <v>32</v>
      </c>
      <c r="AN22" s="77">
        <v>32</v>
      </c>
      <c r="AO22" s="77">
        <v>32</v>
      </c>
      <c r="AP22" s="77">
        <v>32</v>
      </c>
      <c r="AQ22" s="77">
        <v>32</v>
      </c>
      <c r="AR22" s="77">
        <v>32</v>
      </c>
      <c r="AS22" s="77">
        <v>32</v>
      </c>
      <c r="AT22" s="77">
        <v>32</v>
      </c>
      <c r="AU22" s="77">
        <v>32</v>
      </c>
      <c r="AV22" s="77">
        <v>32</v>
      </c>
      <c r="AW22" s="77">
        <v>32</v>
      </c>
      <c r="AX22" s="77">
        <v>32</v>
      </c>
      <c r="AY22" s="77">
        <v>32</v>
      </c>
      <c r="AZ22" s="77">
        <v>32</v>
      </c>
      <c r="BA22" s="77">
        <v>32</v>
      </c>
      <c r="BB22" s="77">
        <v>32</v>
      </c>
      <c r="BC22" s="77">
        <v>32</v>
      </c>
      <c r="BD22" s="77">
        <v>32</v>
      </c>
      <c r="BE22" s="77">
        <v>32</v>
      </c>
      <c r="BF22" s="77">
        <v>32</v>
      </c>
      <c r="BG22" s="77">
        <v>32</v>
      </c>
      <c r="BH22" s="77">
        <v>32</v>
      </c>
      <c r="BI22" s="77">
        <v>32</v>
      </c>
      <c r="BJ22" s="77">
        <v>32</v>
      </c>
      <c r="BK22" s="77">
        <v>32</v>
      </c>
      <c r="BL22" s="77">
        <v>32</v>
      </c>
      <c r="BM22" s="77">
        <v>32</v>
      </c>
      <c r="BN22" s="77">
        <v>32</v>
      </c>
      <c r="BO22" s="77">
        <v>32</v>
      </c>
      <c r="BP22" s="77">
        <v>32</v>
      </c>
      <c r="BQ22" s="77">
        <v>32</v>
      </c>
      <c r="BR22" s="77">
        <v>32</v>
      </c>
      <c r="BS22" s="77">
        <v>32</v>
      </c>
      <c r="BT22" s="77">
        <v>32</v>
      </c>
      <c r="BU22" s="77">
        <v>32</v>
      </c>
      <c r="BV22" s="77">
        <v>32</v>
      </c>
      <c r="BW22" s="77">
        <v>32</v>
      </c>
      <c r="BX22" s="77">
        <v>32</v>
      </c>
      <c r="BY22" s="77">
        <v>32</v>
      </c>
      <c r="BZ22" s="77">
        <v>32</v>
      </c>
      <c r="CA22" s="77">
        <v>32</v>
      </c>
      <c r="CB22" s="77">
        <v>32</v>
      </c>
      <c r="CC22" s="77">
        <v>32</v>
      </c>
      <c r="CD22" s="77">
        <v>32</v>
      </c>
      <c r="CE22" s="77">
        <v>32</v>
      </c>
      <c r="CF22" s="77">
        <v>32</v>
      </c>
      <c r="CG22" s="77">
        <v>32</v>
      </c>
      <c r="CH22" s="77">
        <v>32</v>
      </c>
      <c r="CI22" s="77">
        <v>32</v>
      </c>
      <c r="CJ22" s="77">
        <v>32</v>
      </c>
      <c r="CK22" s="77">
        <v>32</v>
      </c>
      <c r="CL22" s="77">
        <v>32</v>
      </c>
      <c r="CM22" s="77">
        <v>32</v>
      </c>
      <c r="CN22" s="77">
        <v>32</v>
      </c>
      <c r="CO22" s="77">
        <v>32</v>
      </c>
      <c r="CP22" s="77">
        <v>32</v>
      </c>
      <c r="CQ22" s="77">
        <v>32</v>
      </c>
      <c r="CR22" s="77">
        <v>32</v>
      </c>
      <c r="CS22" s="77">
        <v>32</v>
      </c>
      <c r="CT22" s="77">
        <v>32</v>
      </c>
      <c r="CU22" s="77">
        <v>32</v>
      </c>
      <c r="CV22" s="77">
        <v>32</v>
      </c>
      <c r="CW22" s="77">
        <v>32</v>
      </c>
      <c r="CX22" s="77">
        <v>32</v>
      </c>
      <c r="CY22" s="77">
        <v>32</v>
      </c>
      <c r="CZ22" s="77">
        <v>32</v>
      </c>
      <c r="DA22" s="77">
        <v>32</v>
      </c>
      <c r="DB22" s="77">
        <v>32</v>
      </c>
      <c r="DC22" s="77">
        <v>32</v>
      </c>
      <c r="DD22" s="77" t="str">
        <f>TRIM('Extra columns for calculation'!O21)</f>
        <v>Active</v>
      </c>
      <c r="DE22" s="77">
        <f>IF(employee_retention_analysis__version_1__xlsb[[#This Row],[Status]]="Active",1,0)</f>
        <v>1</v>
      </c>
      <c r="DF22" s="77">
        <f>IF(employee_retention_analysis__version_1__xlsb[[#This Row],[Status]]="Not Active",1,0)</f>
        <v>0</v>
      </c>
      <c r="DG22" s="81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Jan 2023</v>
      </c>
    </row>
    <row r="23" spans="1:111" ht="31.2" x14ac:dyDescent="0.3">
      <c r="A23" s="26" t="s">
        <v>27</v>
      </c>
      <c r="B23" s="26" t="s">
        <v>28</v>
      </c>
      <c r="C23" s="26" t="s">
        <v>29</v>
      </c>
      <c r="D23" s="26" t="s">
        <v>30</v>
      </c>
      <c r="E23" s="27" t="s">
        <v>31</v>
      </c>
      <c r="F23" s="28">
        <v>43195</v>
      </c>
      <c r="G23" s="27">
        <v>40</v>
      </c>
      <c r="H23" s="28">
        <v>43378</v>
      </c>
      <c r="I23" s="28">
        <v>44814</v>
      </c>
      <c r="J23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11 months</v>
      </c>
      <c r="K23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3.9342465753424656</v>
      </c>
      <c r="L23" s="27" t="s">
        <v>17</v>
      </c>
      <c r="M23" s="27">
        <v>52</v>
      </c>
      <c r="N23" s="26">
        <v>200</v>
      </c>
      <c r="O23" s="92">
        <v>87000</v>
      </c>
      <c r="P23" s="26">
        <v>35</v>
      </c>
      <c r="Q23" s="26">
        <v>9</v>
      </c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80" t="str">
        <f>TRIM('Extra columns for calculation'!O22)</f>
        <v>Not Active</v>
      </c>
      <c r="DE23" s="26">
        <f>IF(employee_retention_analysis__version_1__xlsb[[#This Row],[Status]]="Active",1,0)</f>
        <v>0</v>
      </c>
      <c r="DF23" s="26">
        <f>IF(employee_retention_analysis__version_1__xlsb[[#This Row],[Status]]="Not Active",1,0)</f>
        <v>1</v>
      </c>
      <c r="DG23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2022</v>
      </c>
    </row>
    <row r="24" spans="1:111" ht="31.2" x14ac:dyDescent="0.3">
      <c r="A24" s="26" t="s">
        <v>41</v>
      </c>
      <c r="B24" s="26" t="s">
        <v>42</v>
      </c>
      <c r="C24" s="26" t="s">
        <v>43</v>
      </c>
      <c r="D24" s="26" t="s">
        <v>44</v>
      </c>
      <c r="E24" s="27" t="s">
        <v>45</v>
      </c>
      <c r="F24" s="28">
        <v>43357</v>
      </c>
      <c r="G24" s="27">
        <v>28</v>
      </c>
      <c r="H24" s="28">
        <v>43501</v>
      </c>
      <c r="I24" s="28">
        <v>44905</v>
      </c>
      <c r="J24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10 months</v>
      </c>
      <c r="K24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3.8465753424657536</v>
      </c>
      <c r="L24" s="27" t="s">
        <v>46</v>
      </c>
      <c r="M24" s="27">
        <v>72</v>
      </c>
      <c r="N24" s="26">
        <v>130</v>
      </c>
      <c r="O24" s="92">
        <v>85000</v>
      </c>
      <c r="P24" s="26">
        <v>30</v>
      </c>
      <c r="Q24" s="26">
        <v>7</v>
      </c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 t="str">
        <f>TRIM('Extra columns for calculation'!O23)</f>
        <v>Not Active</v>
      </c>
      <c r="DE24" s="26">
        <f>IF(employee_retention_analysis__version_1__xlsb[[#This Row],[Status]]="Active",1,0)</f>
        <v>0</v>
      </c>
      <c r="DF24" s="26">
        <f>IF(employee_retention_analysis__version_1__xlsb[[#This Row],[Status]]="Not Active",1,0)</f>
        <v>1</v>
      </c>
      <c r="DG24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2022</v>
      </c>
    </row>
    <row r="25" spans="1:111" ht="31.2" x14ac:dyDescent="0.3">
      <c r="A25" s="26" t="s">
        <v>107</v>
      </c>
      <c r="B25" s="26" t="s">
        <v>108</v>
      </c>
      <c r="C25" s="26" t="s">
        <v>43</v>
      </c>
      <c r="D25" s="26" t="s">
        <v>44</v>
      </c>
      <c r="E25" s="27" t="s">
        <v>45</v>
      </c>
      <c r="F25" s="28">
        <v>44253</v>
      </c>
      <c r="G25" s="27">
        <v>30</v>
      </c>
      <c r="H25" s="28">
        <v>44055</v>
      </c>
      <c r="I25" s="28">
        <v>45455</v>
      </c>
      <c r="J25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10 months</v>
      </c>
      <c r="K25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3.8356164383561642</v>
      </c>
      <c r="L25" s="27" t="s">
        <v>17</v>
      </c>
      <c r="M25" s="27">
        <v>56</v>
      </c>
      <c r="N25" s="26">
        <v>150</v>
      </c>
      <c r="O25" s="92">
        <v>83000</v>
      </c>
      <c r="P25" s="26">
        <v>29</v>
      </c>
      <c r="Q25" s="26">
        <v>7</v>
      </c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 t="str">
        <f>TRIM('Extra columns for calculation'!O24)</f>
        <v>Not Active</v>
      </c>
      <c r="DE25" s="26">
        <f>IF(employee_retention_analysis__version_1__xlsb[[#This Row],[Status]]="Active",1,0)</f>
        <v>0</v>
      </c>
      <c r="DF25" s="26">
        <f>IF(employee_retention_analysis__version_1__xlsb[[#This Row],[Status]]="Not Active",1,0)</f>
        <v>1</v>
      </c>
      <c r="DG25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Jun 2024</v>
      </c>
    </row>
    <row r="26" spans="1:111" ht="31.2" x14ac:dyDescent="0.3">
      <c r="A26" s="26" t="s">
        <v>164</v>
      </c>
      <c r="B26" s="26" t="s">
        <v>165</v>
      </c>
      <c r="C26" s="26" t="s">
        <v>34</v>
      </c>
      <c r="D26" s="26" t="s">
        <v>35</v>
      </c>
      <c r="E26" s="27" t="s">
        <v>166</v>
      </c>
      <c r="F26" s="28">
        <v>45086</v>
      </c>
      <c r="G26" s="27">
        <v>15</v>
      </c>
      <c r="H26" s="28">
        <v>44612</v>
      </c>
      <c r="I26" s="27"/>
      <c r="J26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8 months</v>
      </c>
      <c r="K26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3.6958904109589041</v>
      </c>
      <c r="L26" s="27" t="s">
        <v>46</v>
      </c>
      <c r="M26" s="27">
        <v>60</v>
      </c>
      <c r="N26" s="23">
        <v>110</v>
      </c>
      <c r="O26" s="91">
        <v>80000</v>
      </c>
      <c r="P26" s="81">
        <v>25</v>
      </c>
      <c r="Q26" s="77">
        <v>25</v>
      </c>
      <c r="R26" s="77">
        <v>25</v>
      </c>
      <c r="S26" s="77">
        <v>25</v>
      </c>
      <c r="T26" s="77">
        <v>25</v>
      </c>
      <c r="U26" s="77">
        <v>25</v>
      </c>
      <c r="V26" s="77">
        <v>25</v>
      </c>
      <c r="W26" s="77">
        <v>25</v>
      </c>
      <c r="X26" s="77">
        <v>25</v>
      </c>
      <c r="Y26" s="77">
        <v>25</v>
      </c>
      <c r="Z26" s="77">
        <v>25</v>
      </c>
      <c r="AA26" s="77">
        <v>25</v>
      </c>
      <c r="AB26" s="77">
        <v>25</v>
      </c>
      <c r="AC26" s="77">
        <v>25</v>
      </c>
      <c r="AD26" s="77">
        <v>25</v>
      </c>
      <c r="AE26" s="77">
        <v>25</v>
      </c>
      <c r="AF26" s="77">
        <v>25</v>
      </c>
      <c r="AG26" s="77">
        <v>25</v>
      </c>
      <c r="AH26" s="77">
        <v>25</v>
      </c>
      <c r="AI26" s="77">
        <v>25</v>
      </c>
      <c r="AJ26" s="77">
        <v>25</v>
      </c>
      <c r="AK26" s="77">
        <v>25</v>
      </c>
      <c r="AL26" s="77">
        <v>25</v>
      </c>
      <c r="AM26" s="77">
        <v>25</v>
      </c>
      <c r="AN26" s="77">
        <v>25</v>
      </c>
      <c r="AO26" s="77">
        <v>25</v>
      </c>
      <c r="AP26" s="77">
        <v>25</v>
      </c>
      <c r="AQ26" s="77">
        <v>25</v>
      </c>
      <c r="AR26" s="77">
        <v>25</v>
      </c>
      <c r="AS26" s="77">
        <v>25</v>
      </c>
      <c r="AT26" s="77">
        <v>25</v>
      </c>
      <c r="AU26" s="77">
        <v>25</v>
      </c>
      <c r="AV26" s="77">
        <v>25</v>
      </c>
      <c r="AW26" s="77">
        <v>25</v>
      </c>
      <c r="AX26" s="77">
        <v>25</v>
      </c>
      <c r="AY26" s="77">
        <v>25</v>
      </c>
      <c r="AZ26" s="77">
        <v>25</v>
      </c>
      <c r="BA26" s="77">
        <v>25</v>
      </c>
      <c r="BB26" s="77">
        <v>25</v>
      </c>
      <c r="BC26" s="77">
        <v>25</v>
      </c>
      <c r="BD26" s="77">
        <v>25</v>
      </c>
      <c r="BE26" s="77">
        <v>25</v>
      </c>
      <c r="BF26" s="77">
        <v>25</v>
      </c>
      <c r="BG26" s="77">
        <v>25</v>
      </c>
      <c r="BH26" s="77">
        <v>25</v>
      </c>
      <c r="BI26" s="77">
        <v>25</v>
      </c>
      <c r="BJ26" s="77">
        <v>25</v>
      </c>
      <c r="BK26" s="77">
        <v>25</v>
      </c>
      <c r="BL26" s="77">
        <v>25</v>
      </c>
      <c r="BM26" s="77">
        <v>25</v>
      </c>
      <c r="BN26" s="77">
        <v>25</v>
      </c>
      <c r="BO26" s="77">
        <v>25</v>
      </c>
      <c r="BP26" s="77">
        <v>25</v>
      </c>
      <c r="BQ26" s="77">
        <v>25</v>
      </c>
      <c r="BR26" s="77">
        <v>25</v>
      </c>
      <c r="BS26" s="77">
        <v>25</v>
      </c>
      <c r="BT26" s="77">
        <v>25</v>
      </c>
      <c r="BU26" s="77">
        <v>25</v>
      </c>
      <c r="BV26" s="77">
        <v>25</v>
      </c>
      <c r="BW26" s="77">
        <v>25</v>
      </c>
      <c r="BX26" s="77">
        <v>25</v>
      </c>
      <c r="BY26" s="77">
        <v>25</v>
      </c>
      <c r="BZ26" s="77">
        <v>25</v>
      </c>
      <c r="CA26" s="77">
        <v>25</v>
      </c>
      <c r="CB26" s="77">
        <v>25</v>
      </c>
      <c r="CC26" s="77">
        <v>25</v>
      </c>
      <c r="CD26" s="77">
        <v>25</v>
      </c>
      <c r="CE26" s="77">
        <v>25</v>
      </c>
      <c r="CF26" s="77">
        <v>25</v>
      </c>
      <c r="CG26" s="77">
        <v>25</v>
      </c>
      <c r="CH26" s="77">
        <v>25</v>
      </c>
      <c r="CI26" s="77">
        <v>25</v>
      </c>
      <c r="CJ26" s="77">
        <v>25</v>
      </c>
      <c r="CK26" s="77">
        <v>25</v>
      </c>
      <c r="CL26" s="77">
        <v>25</v>
      </c>
      <c r="CM26" s="77">
        <v>25</v>
      </c>
      <c r="CN26" s="77">
        <v>25</v>
      </c>
      <c r="CO26" s="77">
        <v>25</v>
      </c>
      <c r="CP26" s="77">
        <v>25</v>
      </c>
      <c r="CQ26" s="77">
        <v>25</v>
      </c>
      <c r="CR26" s="77">
        <v>25</v>
      </c>
      <c r="CS26" s="77">
        <v>25</v>
      </c>
      <c r="CT26" s="77">
        <v>25</v>
      </c>
      <c r="CU26" s="77">
        <v>25</v>
      </c>
      <c r="CV26" s="77">
        <v>25</v>
      </c>
      <c r="CW26" s="77">
        <v>25</v>
      </c>
      <c r="CX26" s="77">
        <v>25</v>
      </c>
      <c r="CY26" s="77">
        <v>25</v>
      </c>
      <c r="CZ26" s="77">
        <v>25</v>
      </c>
      <c r="DA26" s="77">
        <v>25</v>
      </c>
      <c r="DB26" s="77">
        <v>25</v>
      </c>
      <c r="DC26" s="77">
        <v>25</v>
      </c>
      <c r="DD26" s="77" t="str">
        <f>TRIM('Extra columns for calculation'!O25)</f>
        <v>Active</v>
      </c>
      <c r="DE26" s="77">
        <f>IF(employee_retention_analysis__version_1__xlsb[[#This Row],[Status]]="Active",1,0)</f>
        <v>1</v>
      </c>
      <c r="DF26" s="77">
        <f>IF(employee_retention_analysis__version_1__xlsb[[#This Row],[Status]]="Not Active",1,0)</f>
        <v>0</v>
      </c>
      <c r="DG26" s="81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Jun 2023</v>
      </c>
    </row>
    <row r="27" spans="1:111" ht="31.2" x14ac:dyDescent="0.3">
      <c r="A27" s="26" t="s">
        <v>128</v>
      </c>
      <c r="B27" s="26" t="s">
        <v>129</v>
      </c>
      <c r="C27" s="26" t="s">
        <v>15</v>
      </c>
      <c r="D27" s="26" t="s">
        <v>20</v>
      </c>
      <c r="E27" s="27" t="s">
        <v>130</v>
      </c>
      <c r="F27" s="28">
        <v>44586</v>
      </c>
      <c r="G27" s="27">
        <v>35</v>
      </c>
      <c r="H27" s="28">
        <v>44267</v>
      </c>
      <c r="I27" s="28">
        <v>45553</v>
      </c>
      <c r="J27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6 months</v>
      </c>
      <c r="K27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3.5232876712328767</v>
      </c>
      <c r="L27" s="27" t="s">
        <v>17</v>
      </c>
      <c r="M27" s="27">
        <v>76</v>
      </c>
      <c r="N27" s="26">
        <v>130</v>
      </c>
      <c r="O27" s="92">
        <v>80000</v>
      </c>
      <c r="P27" s="26">
        <v>29</v>
      </c>
      <c r="Q27" s="26">
        <v>7</v>
      </c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80" t="str">
        <f>TRIM('Extra columns for calculation'!O26)</f>
        <v>Not Active</v>
      </c>
      <c r="DE27" s="26">
        <f>IF(employee_retention_analysis__version_1__xlsb[[#This Row],[Status]]="Active",1,0)</f>
        <v>0</v>
      </c>
      <c r="DF27" s="26">
        <f>IF(employee_retention_analysis__version_1__xlsb[[#This Row],[Status]]="Not Active",1,0)</f>
        <v>1</v>
      </c>
      <c r="DG27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2024</v>
      </c>
    </row>
    <row r="28" spans="1:111" ht="31.2" x14ac:dyDescent="0.3">
      <c r="A28" s="26" t="s">
        <v>65</v>
      </c>
      <c r="B28" s="26" t="s">
        <v>66</v>
      </c>
      <c r="C28" s="26" t="s">
        <v>24</v>
      </c>
      <c r="D28" s="26" t="s">
        <v>67</v>
      </c>
      <c r="E28" s="27" t="s">
        <v>68</v>
      </c>
      <c r="F28" s="28">
        <v>43637</v>
      </c>
      <c r="G28" s="27">
        <v>32</v>
      </c>
      <c r="H28" s="28">
        <v>43685</v>
      </c>
      <c r="I28" s="28">
        <v>44907</v>
      </c>
      <c r="J28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4 months</v>
      </c>
      <c r="K28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3.3479452054794518</v>
      </c>
      <c r="L28" s="27" t="s">
        <v>17</v>
      </c>
      <c r="M28" s="27">
        <v>50</v>
      </c>
      <c r="N28" s="26">
        <v>150</v>
      </c>
      <c r="O28" s="92">
        <v>78000</v>
      </c>
      <c r="P28" s="26">
        <v>46</v>
      </c>
      <c r="Q28" s="26">
        <v>8</v>
      </c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 t="str">
        <f>TRIM('Extra columns for calculation'!O27)</f>
        <v>Not Active</v>
      </c>
      <c r="DE28" s="26">
        <f>IF(employee_retention_analysis__version_1__xlsb[[#This Row],[Status]]="Active",1,0)</f>
        <v>0</v>
      </c>
      <c r="DF28" s="26">
        <f>IF(employee_retention_analysis__version_1__xlsb[[#This Row],[Status]]="Not Active",1,0)</f>
        <v>1</v>
      </c>
      <c r="DG28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2022</v>
      </c>
    </row>
    <row r="29" spans="1:111" ht="31.2" x14ac:dyDescent="0.3">
      <c r="A29" s="26" t="s">
        <v>148</v>
      </c>
      <c r="B29" s="26" t="s">
        <v>149</v>
      </c>
      <c r="C29" s="26" t="s">
        <v>15</v>
      </c>
      <c r="D29" s="26" t="s">
        <v>39</v>
      </c>
      <c r="E29" s="27" t="s">
        <v>150</v>
      </c>
      <c r="F29" s="28">
        <v>44852</v>
      </c>
      <c r="G29" s="27">
        <v>55</v>
      </c>
      <c r="H29" s="28">
        <v>44444</v>
      </c>
      <c r="I29" s="28">
        <v>45656</v>
      </c>
      <c r="J29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3 months</v>
      </c>
      <c r="K29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3.3205479452054796</v>
      </c>
      <c r="L29" s="27" t="s">
        <v>46</v>
      </c>
      <c r="M29" s="27">
        <v>64</v>
      </c>
      <c r="N29" s="26">
        <v>190</v>
      </c>
      <c r="O29" s="92">
        <v>77000</v>
      </c>
      <c r="P29" s="26">
        <v>28</v>
      </c>
      <c r="Q29" s="26">
        <v>7</v>
      </c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 t="str">
        <f>TRIM('Extra columns for calculation'!O28)</f>
        <v>Not Active</v>
      </c>
      <c r="DE29" s="26">
        <f>IF(employee_retention_analysis__version_1__xlsb[[#This Row],[Status]]="Active",1,0)</f>
        <v>0</v>
      </c>
      <c r="DF29" s="26">
        <f>IF(employee_retention_analysis__version_1__xlsb[[#This Row],[Status]]="Not Active",1,0)</f>
        <v>1</v>
      </c>
      <c r="DG29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2024</v>
      </c>
    </row>
    <row r="30" spans="1:111" ht="15.6" x14ac:dyDescent="0.3">
      <c r="A30" s="26" t="s">
        <v>139</v>
      </c>
      <c r="B30" s="26" t="s">
        <v>140</v>
      </c>
      <c r="C30" s="26" t="s">
        <v>15</v>
      </c>
      <c r="D30" s="26" t="s">
        <v>16</v>
      </c>
      <c r="E30" s="27" t="s">
        <v>141</v>
      </c>
      <c r="F30" s="28">
        <v>44714</v>
      </c>
      <c r="G30" s="27">
        <v>58</v>
      </c>
      <c r="H30" s="28">
        <v>44365</v>
      </c>
      <c r="I30" s="28">
        <v>45522</v>
      </c>
      <c r="J30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years 2 months</v>
      </c>
      <c r="K30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3.1698630136986301</v>
      </c>
      <c r="L30" s="27" t="s">
        <v>17</v>
      </c>
      <c r="M30" s="27">
        <v>58</v>
      </c>
      <c r="N30" s="26">
        <v>210</v>
      </c>
      <c r="O30" s="92">
        <v>73000</v>
      </c>
      <c r="P30" s="26">
        <v>28</v>
      </c>
      <c r="Q30" s="26">
        <v>9</v>
      </c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 t="str">
        <f>TRIM('Extra columns for calculation'!O29)</f>
        <v>Not Active</v>
      </c>
      <c r="DE30" s="26">
        <f>IF(employee_retention_analysis__version_1__xlsb[[#This Row],[Status]]="Active",1,0)</f>
        <v>0</v>
      </c>
      <c r="DF30" s="26">
        <f>IF(employee_retention_analysis__version_1__xlsb[[#This Row],[Status]]="Not Active",1,0)</f>
        <v>1</v>
      </c>
      <c r="DG30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Aug 2024</v>
      </c>
    </row>
    <row r="31" spans="1:111" ht="31.2" x14ac:dyDescent="0.3">
      <c r="A31" s="26" t="s">
        <v>104</v>
      </c>
      <c r="B31" s="26" t="s">
        <v>105</v>
      </c>
      <c r="C31" s="26" t="s">
        <v>29</v>
      </c>
      <c r="D31" s="26" t="s">
        <v>30</v>
      </c>
      <c r="E31" s="27" t="s">
        <v>106</v>
      </c>
      <c r="F31" s="28">
        <v>44203</v>
      </c>
      <c r="G31" s="27">
        <v>45</v>
      </c>
      <c r="H31" s="28">
        <v>44020</v>
      </c>
      <c r="I31" s="28">
        <v>45132</v>
      </c>
      <c r="J31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 xml:space="preserve">3 years </v>
      </c>
      <c r="K31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3.0465753424657533</v>
      </c>
      <c r="L31" s="27" t="s">
        <v>17</v>
      </c>
      <c r="M31" s="27">
        <v>62</v>
      </c>
      <c r="N31" s="26">
        <v>220</v>
      </c>
      <c r="O31" s="92">
        <v>72000</v>
      </c>
      <c r="P31" s="26">
        <v>35</v>
      </c>
      <c r="Q31" s="26">
        <v>8</v>
      </c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 t="str">
        <f>TRIM('Extra columns for calculation'!O30)</f>
        <v>Not Active</v>
      </c>
      <c r="DE31" s="26">
        <f>IF(employee_retention_analysis__version_1__xlsb[[#This Row],[Status]]="Active",1,0)</f>
        <v>0</v>
      </c>
      <c r="DF31" s="26">
        <f>IF(employee_retention_analysis__version_1__xlsb[[#This Row],[Status]]="Not Active",1,0)</f>
        <v>1</v>
      </c>
      <c r="DG31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Jul 2023</v>
      </c>
    </row>
    <row r="32" spans="1:111" ht="31.2" x14ac:dyDescent="0.3">
      <c r="A32" s="26" t="s">
        <v>112</v>
      </c>
      <c r="B32" s="26" t="s">
        <v>113</v>
      </c>
      <c r="C32" s="26" t="s">
        <v>55</v>
      </c>
      <c r="D32" s="26" t="s">
        <v>56</v>
      </c>
      <c r="E32" s="27" t="s">
        <v>114</v>
      </c>
      <c r="F32" s="28">
        <v>44362</v>
      </c>
      <c r="G32" s="27">
        <v>20</v>
      </c>
      <c r="H32" s="28">
        <v>44124</v>
      </c>
      <c r="I32" s="28">
        <v>45189</v>
      </c>
      <c r="J32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2 years 11 months</v>
      </c>
      <c r="K32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2.9178082191780823</v>
      </c>
      <c r="L32" s="27" t="s">
        <v>17</v>
      </c>
      <c r="M32" s="27">
        <v>73</v>
      </c>
      <c r="N32" s="26">
        <v>170</v>
      </c>
      <c r="O32" s="92">
        <v>70000</v>
      </c>
      <c r="P32" s="26">
        <v>34</v>
      </c>
      <c r="Q32" s="26">
        <v>8</v>
      </c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 t="str">
        <f>TRIM('Extra columns for calculation'!O31)</f>
        <v>Not Active</v>
      </c>
      <c r="DE32" s="26">
        <f>IF(employee_retention_analysis__version_1__xlsb[[#This Row],[Status]]="Active",1,0)</f>
        <v>0</v>
      </c>
      <c r="DF32" s="26">
        <f>IF(employee_retention_analysis__version_1__xlsb[[#This Row],[Status]]="Not Active",1,0)</f>
        <v>1</v>
      </c>
      <c r="DG32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2023</v>
      </c>
    </row>
    <row r="33" spans="1:111" ht="31.2" x14ac:dyDescent="0.3">
      <c r="A33" s="26" t="s">
        <v>76</v>
      </c>
      <c r="B33" s="26" t="s">
        <v>77</v>
      </c>
      <c r="C33" s="26" t="s">
        <v>55</v>
      </c>
      <c r="D33" s="26" t="s">
        <v>56</v>
      </c>
      <c r="E33" s="27" t="s">
        <v>78</v>
      </c>
      <c r="F33" s="28">
        <v>43826</v>
      </c>
      <c r="G33" s="27">
        <v>45</v>
      </c>
      <c r="H33" s="28">
        <v>43784</v>
      </c>
      <c r="I33" s="28">
        <v>44835</v>
      </c>
      <c r="J33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2 years 10 months</v>
      </c>
      <c r="K33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2.8794520547945206</v>
      </c>
      <c r="L33" s="27" t="s">
        <v>17</v>
      </c>
      <c r="M33" s="27">
        <v>63</v>
      </c>
      <c r="N33" s="26">
        <v>180</v>
      </c>
      <c r="O33" s="92">
        <v>68000</v>
      </c>
      <c r="P33" s="26">
        <v>41</v>
      </c>
      <c r="Q33" s="26">
        <v>8</v>
      </c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 t="str">
        <f>TRIM('Extra columns for calculation'!O32)</f>
        <v>Not Active</v>
      </c>
      <c r="DE33" s="26">
        <f>IF(employee_retention_analysis__version_1__xlsb[[#This Row],[Status]]="Active",1,0)</f>
        <v>0</v>
      </c>
      <c r="DF33" s="26">
        <f>IF(employee_retention_analysis__version_1__xlsb[[#This Row],[Status]]="Not Active",1,0)</f>
        <v>1</v>
      </c>
      <c r="DG33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Oct 2022</v>
      </c>
    </row>
    <row r="34" spans="1:111" ht="31.2" x14ac:dyDescent="0.3">
      <c r="A34" s="26" t="s">
        <v>158</v>
      </c>
      <c r="B34" s="26" t="s">
        <v>159</v>
      </c>
      <c r="C34" s="26" t="s">
        <v>43</v>
      </c>
      <c r="D34" s="26" t="s">
        <v>84</v>
      </c>
      <c r="E34" s="27" t="s">
        <v>160</v>
      </c>
      <c r="F34" s="28">
        <v>44985</v>
      </c>
      <c r="G34" s="27">
        <v>32</v>
      </c>
      <c r="H34" s="28">
        <v>44538</v>
      </c>
      <c r="I34" s="28">
        <v>45519</v>
      </c>
      <c r="J34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2 years 8 months</v>
      </c>
      <c r="K34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2.6876712328767125</v>
      </c>
      <c r="L34" s="27" t="s">
        <v>17</v>
      </c>
      <c r="M34" s="27">
        <v>50</v>
      </c>
      <c r="N34" s="26">
        <v>200</v>
      </c>
      <c r="O34" s="92">
        <v>67000</v>
      </c>
      <c r="P34" s="26">
        <v>35</v>
      </c>
      <c r="Q34" s="26">
        <v>9</v>
      </c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 t="str">
        <f>TRIM('Extra columns for calculation'!O33)</f>
        <v>Not Active</v>
      </c>
      <c r="DE34" s="26">
        <f>IF(employee_retention_analysis__version_1__xlsb[[#This Row],[Status]]="Active",1,0)</f>
        <v>0</v>
      </c>
      <c r="DF34" s="26">
        <f>IF(employee_retention_analysis__version_1__xlsb[[#This Row],[Status]]="Not Active",1,0)</f>
        <v>1</v>
      </c>
      <c r="DG34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Aug 2024</v>
      </c>
    </row>
    <row r="35" spans="1:111" ht="31.2" x14ac:dyDescent="0.3">
      <c r="A35" s="26" t="s">
        <v>135</v>
      </c>
      <c r="B35" s="26" t="s">
        <v>136</v>
      </c>
      <c r="C35" s="26" t="s">
        <v>55</v>
      </c>
      <c r="D35" s="26" t="s">
        <v>137</v>
      </c>
      <c r="E35" s="27" t="s">
        <v>138</v>
      </c>
      <c r="F35" s="28">
        <v>44672</v>
      </c>
      <c r="G35" s="27">
        <v>40</v>
      </c>
      <c r="H35" s="28">
        <v>44321</v>
      </c>
      <c r="I35" s="28">
        <v>45204</v>
      </c>
      <c r="J35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2 years 5 months</v>
      </c>
      <c r="K35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2.419178082191781</v>
      </c>
      <c r="L35" s="27" t="s">
        <v>17</v>
      </c>
      <c r="M35" s="27">
        <v>59</v>
      </c>
      <c r="N35" s="26">
        <v>160</v>
      </c>
      <c r="O35" s="92">
        <v>65000</v>
      </c>
      <c r="P35" s="26">
        <v>32</v>
      </c>
      <c r="Q35" s="26">
        <v>8</v>
      </c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 t="str">
        <f>TRIM('Extra columns for calculation'!O34)</f>
        <v>Not Active</v>
      </c>
      <c r="DE35" s="26">
        <f>IF(employee_retention_analysis__version_1__xlsb[[#This Row],[Status]]="Active",1,0)</f>
        <v>0</v>
      </c>
      <c r="DF35" s="26">
        <f>IF(employee_retention_analysis__version_1__xlsb[[#This Row],[Status]]="Not Active",1,0)</f>
        <v>1</v>
      </c>
      <c r="DG35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Oct 2023</v>
      </c>
    </row>
    <row r="36" spans="1:111" ht="15.6" x14ac:dyDescent="0.3">
      <c r="A36" s="26" t="s">
        <v>109</v>
      </c>
      <c r="B36" s="26" t="s">
        <v>110</v>
      </c>
      <c r="C36" s="26" t="s">
        <v>15</v>
      </c>
      <c r="D36" s="26" t="s">
        <v>16</v>
      </c>
      <c r="E36" s="27" t="s">
        <v>111</v>
      </c>
      <c r="F36" s="28">
        <v>44305</v>
      </c>
      <c r="G36" s="27">
        <v>55</v>
      </c>
      <c r="H36" s="28">
        <v>44079</v>
      </c>
      <c r="I36" s="28">
        <v>44890</v>
      </c>
      <c r="J36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2 years 2 months</v>
      </c>
      <c r="K36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2.2219178082191782</v>
      </c>
      <c r="L36" s="27" t="s">
        <v>17</v>
      </c>
      <c r="M36" s="27">
        <v>54</v>
      </c>
      <c r="N36" s="26">
        <v>200</v>
      </c>
      <c r="O36" s="92">
        <v>63000</v>
      </c>
      <c r="P36" s="26">
        <v>27</v>
      </c>
      <c r="Q36" s="26">
        <v>8</v>
      </c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 t="str">
        <f>TRIM('Extra columns for calculation'!O35)</f>
        <v>Not Active</v>
      </c>
      <c r="DE36" s="26">
        <f>IF(employee_retention_analysis__version_1__xlsb[[#This Row],[Status]]="Active",1,0)</f>
        <v>0</v>
      </c>
      <c r="DF36" s="26">
        <f>IF(employee_retention_analysis__version_1__xlsb[[#This Row],[Status]]="Not Active",1,0)</f>
        <v>1</v>
      </c>
      <c r="DG36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Nov 2022</v>
      </c>
    </row>
    <row r="37" spans="1:111" ht="31.2" x14ac:dyDescent="0.3">
      <c r="A37" s="26" t="s">
        <v>170</v>
      </c>
      <c r="B37" s="26" t="s">
        <v>171</v>
      </c>
      <c r="C37" s="26" t="s">
        <v>55</v>
      </c>
      <c r="D37" s="26" t="s">
        <v>137</v>
      </c>
      <c r="E37" s="27" t="s">
        <v>172</v>
      </c>
      <c r="F37" s="28">
        <v>45188</v>
      </c>
      <c r="G37" s="27">
        <v>35</v>
      </c>
      <c r="H37" s="28">
        <v>44669</v>
      </c>
      <c r="I37" s="28">
        <v>45468</v>
      </c>
      <c r="J37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2 years 2 months</v>
      </c>
      <c r="K37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2.1890410958904107</v>
      </c>
      <c r="L37" s="27" t="s">
        <v>17</v>
      </c>
      <c r="M37" s="27">
        <v>60</v>
      </c>
      <c r="N37" s="26">
        <v>150</v>
      </c>
      <c r="O37" s="92">
        <v>60000</v>
      </c>
      <c r="P37" s="26">
        <v>27</v>
      </c>
      <c r="Q37" s="26">
        <v>7</v>
      </c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 t="str">
        <f>TRIM('Extra columns for calculation'!O36)</f>
        <v>Not Active</v>
      </c>
      <c r="DE37" s="26">
        <f>IF(employee_retention_analysis__version_1__xlsb[[#This Row],[Status]]="Active",1,0)</f>
        <v>0</v>
      </c>
      <c r="DF37" s="26">
        <f>IF(employee_retention_analysis__version_1__xlsb[[#This Row],[Status]]="Not Active",1,0)</f>
        <v>1</v>
      </c>
      <c r="DG37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Jun 2024</v>
      </c>
    </row>
    <row r="38" spans="1:111" ht="31.2" x14ac:dyDescent="0.3">
      <c r="A38" s="26" t="s">
        <v>94</v>
      </c>
      <c r="B38" s="26" t="s">
        <v>95</v>
      </c>
      <c r="C38" s="26" t="s">
        <v>34</v>
      </c>
      <c r="D38" s="26" t="s">
        <v>35</v>
      </c>
      <c r="E38" s="27" t="s">
        <v>96</v>
      </c>
      <c r="F38" s="28">
        <v>44047</v>
      </c>
      <c r="G38" s="27">
        <v>16</v>
      </c>
      <c r="H38" s="28">
        <v>43946</v>
      </c>
      <c r="I38" s="28">
        <v>44699</v>
      </c>
      <c r="J38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 xml:space="preserve">2 years </v>
      </c>
      <c r="K38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2.0630136986301371</v>
      </c>
      <c r="L38" s="27" t="s">
        <v>17</v>
      </c>
      <c r="M38" s="27">
        <v>63</v>
      </c>
      <c r="N38" s="26">
        <v>120</v>
      </c>
      <c r="O38" s="92">
        <v>58000</v>
      </c>
      <c r="P38" s="26">
        <v>25</v>
      </c>
      <c r="Q38" s="26">
        <v>7</v>
      </c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 t="str">
        <f>TRIM('Extra columns for calculation'!O37)</f>
        <v>Not Active</v>
      </c>
      <c r="DE38" s="26">
        <f>IF(employee_retention_analysis__version_1__xlsb[[#This Row],[Status]]="Active",1,0)</f>
        <v>0</v>
      </c>
      <c r="DF38" s="26">
        <f>IF(employee_retention_analysis__version_1__xlsb[[#This Row],[Status]]="Not Active",1,0)</f>
        <v>1</v>
      </c>
      <c r="DG38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May 2022</v>
      </c>
    </row>
    <row r="39" spans="1:111" ht="31.2" x14ac:dyDescent="0.3">
      <c r="A39" s="26" t="s">
        <v>50</v>
      </c>
      <c r="B39" s="26" t="s">
        <v>51</v>
      </c>
      <c r="C39" s="26" t="s">
        <v>29</v>
      </c>
      <c r="D39" s="26" t="s">
        <v>30</v>
      </c>
      <c r="E39" s="27" t="s">
        <v>52</v>
      </c>
      <c r="F39" s="28">
        <v>43452</v>
      </c>
      <c r="G39" s="27">
        <v>35</v>
      </c>
      <c r="H39" s="28">
        <v>43577</v>
      </c>
      <c r="I39" s="28">
        <v>44252</v>
      </c>
      <c r="J39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1 years 10 months</v>
      </c>
      <c r="K39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1.8493150684931507</v>
      </c>
      <c r="L39" s="27" t="s">
        <v>17</v>
      </c>
      <c r="M39" s="27">
        <v>70</v>
      </c>
      <c r="N39" s="26">
        <v>170</v>
      </c>
      <c r="O39" s="92">
        <v>57000</v>
      </c>
      <c r="P39" s="26">
        <v>32</v>
      </c>
      <c r="Q39" s="26">
        <v>8</v>
      </c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 t="str">
        <f>TRIM('Extra columns for calculation'!O38)</f>
        <v>Not Active</v>
      </c>
      <c r="DE39" s="26">
        <f>IF(employee_retention_analysis__version_1__xlsb[[#This Row],[Status]]="Active",1,0)</f>
        <v>0</v>
      </c>
      <c r="DF39" s="26">
        <f>IF(employee_retention_analysis__version_1__xlsb[[#This Row],[Status]]="Not Active",1,0)</f>
        <v>1</v>
      </c>
      <c r="DG39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Feb 2021</v>
      </c>
    </row>
    <row r="40" spans="1:111" ht="31.2" x14ac:dyDescent="0.3">
      <c r="A40" s="26" t="s">
        <v>90</v>
      </c>
      <c r="B40" s="26" t="s">
        <v>91</v>
      </c>
      <c r="C40" s="26" t="s">
        <v>24</v>
      </c>
      <c r="D40" s="26" t="s">
        <v>92</v>
      </c>
      <c r="E40" s="27" t="s">
        <v>93</v>
      </c>
      <c r="F40" s="28">
        <v>43999</v>
      </c>
      <c r="G40" s="27">
        <v>50</v>
      </c>
      <c r="H40" s="28">
        <v>43908</v>
      </c>
      <c r="I40" s="28">
        <v>44552</v>
      </c>
      <c r="J40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1 years 9 months</v>
      </c>
      <c r="K40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1.7643835616438357</v>
      </c>
      <c r="L40" s="27" t="s">
        <v>17</v>
      </c>
      <c r="M40" s="27">
        <v>64</v>
      </c>
      <c r="N40" s="26">
        <v>240</v>
      </c>
      <c r="O40" s="92">
        <v>54000</v>
      </c>
      <c r="P40" s="26">
        <v>39</v>
      </c>
      <c r="Q40" s="26">
        <v>9</v>
      </c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 t="str">
        <f>TRIM('Extra columns for calculation'!O39)</f>
        <v>Not Active</v>
      </c>
      <c r="DE40" s="26">
        <f>IF(employee_retention_analysis__version_1__xlsb[[#This Row],[Status]]="Active",1,0)</f>
        <v>0</v>
      </c>
      <c r="DF40" s="26">
        <f>IF(employee_retention_analysis__version_1__xlsb[[#This Row],[Status]]="Not Active",1,0)</f>
        <v>1</v>
      </c>
      <c r="DG40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2021</v>
      </c>
    </row>
    <row r="41" spans="1:111" ht="31.2" x14ac:dyDescent="0.3">
      <c r="A41" s="26" t="s">
        <v>167</v>
      </c>
      <c r="B41" s="26" t="s">
        <v>168</v>
      </c>
      <c r="C41" s="26" t="s">
        <v>29</v>
      </c>
      <c r="D41" s="26" t="s">
        <v>88</v>
      </c>
      <c r="E41" s="27" t="s">
        <v>169</v>
      </c>
      <c r="F41" s="28">
        <v>45139</v>
      </c>
      <c r="G41" s="27">
        <v>40</v>
      </c>
      <c r="H41" s="28">
        <v>44630</v>
      </c>
      <c r="I41" s="28">
        <v>45270</v>
      </c>
      <c r="J41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1 years 9 months</v>
      </c>
      <c r="K41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1.7534246575342465</v>
      </c>
      <c r="L41" s="27" t="s">
        <v>17</v>
      </c>
      <c r="M41" s="27">
        <v>56</v>
      </c>
      <c r="N41" s="26">
        <v>190</v>
      </c>
      <c r="O41" s="92">
        <v>54000</v>
      </c>
      <c r="P41" s="26">
        <v>33</v>
      </c>
      <c r="Q41" s="26">
        <v>8</v>
      </c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 t="str">
        <f>TRIM('Extra columns for calculation'!O40)</f>
        <v>Not Active</v>
      </c>
      <c r="DE41" s="26">
        <f>IF(employee_retention_analysis__version_1__xlsb[[#This Row],[Status]]="Active",1,0)</f>
        <v>0</v>
      </c>
      <c r="DF41" s="26">
        <f>IF(employee_retention_analysis__version_1__xlsb[[#This Row],[Status]]="Not Active",1,0)</f>
        <v>1</v>
      </c>
      <c r="DG41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Dec 2023</v>
      </c>
    </row>
    <row r="42" spans="1:111" ht="31.2" x14ac:dyDescent="0.3">
      <c r="A42" s="26" t="s">
        <v>72</v>
      </c>
      <c r="B42" s="26" t="s">
        <v>73</v>
      </c>
      <c r="C42" s="26" t="s">
        <v>34</v>
      </c>
      <c r="D42" s="26" t="s">
        <v>74</v>
      </c>
      <c r="E42" s="27" t="s">
        <v>75</v>
      </c>
      <c r="F42" s="28">
        <v>43749</v>
      </c>
      <c r="G42" s="27">
        <v>18</v>
      </c>
      <c r="H42" s="28">
        <v>43748</v>
      </c>
      <c r="I42" s="28">
        <v>44326</v>
      </c>
      <c r="J42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1 years 7 months</v>
      </c>
      <c r="K42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1.5835616438356164</v>
      </c>
      <c r="L42" s="27" t="s">
        <v>17</v>
      </c>
      <c r="M42" s="27">
        <v>53</v>
      </c>
      <c r="N42" s="26">
        <v>110</v>
      </c>
      <c r="O42" s="92">
        <v>45000</v>
      </c>
      <c r="P42" s="26">
        <v>27</v>
      </c>
      <c r="Q42" s="26">
        <v>7</v>
      </c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 t="str">
        <f>TRIM('Extra columns for calculation'!O41)</f>
        <v>Not Active</v>
      </c>
      <c r="DE42" s="26">
        <f>IF(employee_retention_analysis__version_1__xlsb[[#This Row],[Status]]="Active",1,0)</f>
        <v>0</v>
      </c>
      <c r="DF42" s="26">
        <f>IF(employee_retention_analysis__version_1__xlsb[[#This Row],[Status]]="Not Active",1,0)</f>
        <v>1</v>
      </c>
      <c r="DG42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May 2021</v>
      </c>
    </row>
    <row r="43" spans="1:111" ht="31.2" x14ac:dyDescent="0.3">
      <c r="A43" s="26" t="s">
        <v>131</v>
      </c>
      <c r="B43" s="26" t="s">
        <v>132</v>
      </c>
      <c r="C43" s="26" t="s">
        <v>24</v>
      </c>
      <c r="D43" s="26" t="s">
        <v>133</v>
      </c>
      <c r="E43" s="27" t="s">
        <v>134</v>
      </c>
      <c r="F43" s="28">
        <v>44623</v>
      </c>
      <c r="G43" s="27">
        <v>25</v>
      </c>
      <c r="H43" s="28">
        <v>44306</v>
      </c>
      <c r="I43" s="28">
        <v>44875</v>
      </c>
      <c r="J43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1 years 6 months</v>
      </c>
      <c r="K43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1.558904109589041</v>
      </c>
      <c r="L43" s="27" t="s">
        <v>17</v>
      </c>
      <c r="M43" s="27">
        <v>62</v>
      </c>
      <c r="N43" s="26">
        <v>150</v>
      </c>
      <c r="O43" s="92">
        <v>42000</v>
      </c>
      <c r="P43" s="26">
        <v>30</v>
      </c>
      <c r="Q43" s="26">
        <v>8</v>
      </c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 t="str">
        <f>TRIM('Extra columns for calculation'!O42)</f>
        <v>Not Active</v>
      </c>
      <c r="DE43" s="26">
        <f>IF(employee_retention_analysis__version_1__xlsb[[#This Row],[Status]]="Active",1,0)</f>
        <v>0</v>
      </c>
      <c r="DF43" s="26">
        <f>IF(employee_retention_analysis__version_1__xlsb[[#This Row],[Status]]="Not Active",1,0)</f>
        <v>1</v>
      </c>
      <c r="DG43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Nov 2022</v>
      </c>
    </row>
    <row r="44" spans="1:111" ht="31.2" x14ac:dyDescent="0.3">
      <c r="A44" s="26" t="s">
        <v>145</v>
      </c>
      <c r="B44" s="26" t="s">
        <v>146</v>
      </c>
      <c r="C44" s="26" t="s">
        <v>29</v>
      </c>
      <c r="D44" s="26" t="s">
        <v>30</v>
      </c>
      <c r="E44" s="27" t="s">
        <v>147</v>
      </c>
      <c r="F44" s="28">
        <v>44804</v>
      </c>
      <c r="G44" s="27">
        <v>42</v>
      </c>
      <c r="H44" s="28">
        <v>44423</v>
      </c>
      <c r="I44" s="28">
        <v>44711</v>
      </c>
      <c r="J44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9 months</v>
      </c>
      <c r="K44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0.78904109589041094</v>
      </c>
      <c r="L44" s="27" t="s">
        <v>17</v>
      </c>
      <c r="M44" s="27">
        <v>67</v>
      </c>
      <c r="N44" s="26">
        <v>210</v>
      </c>
      <c r="O44" s="92">
        <v>35000</v>
      </c>
      <c r="P44" s="26">
        <v>36</v>
      </c>
      <c r="Q44" s="26">
        <v>9</v>
      </c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 t="str">
        <f>TRIM('Extra columns for calculation'!O43)</f>
        <v>Not Active</v>
      </c>
      <c r="DE44" s="26">
        <f>IF(employee_retention_analysis__version_1__xlsb[[#This Row],[Status]]="Active",1,0)</f>
        <v>0</v>
      </c>
      <c r="DF44" s="26">
        <f>IF(employee_retention_analysis__version_1__xlsb[[#This Row],[Status]]="Not Active",1,0)</f>
        <v>1</v>
      </c>
      <c r="DG44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May 2022</v>
      </c>
    </row>
    <row r="45" spans="1:111" ht="31.2" x14ac:dyDescent="0.3">
      <c r="A45" s="26" t="s">
        <v>161</v>
      </c>
      <c r="B45" s="26" t="s">
        <v>162</v>
      </c>
      <c r="C45" s="26" t="s">
        <v>15</v>
      </c>
      <c r="D45" s="26" t="s">
        <v>20</v>
      </c>
      <c r="E45" s="27" t="s">
        <v>163</v>
      </c>
      <c r="F45" s="28">
        <v>45030</v>
      </c>
      <c r="G45" s="27">
        <v>45</v>
      </c>
      <c r="H45" s="28">
        <v>44576</v>
      </c>
      <c r="I45" s="28">
        <v>44816</v>
      </c>
      <c r="J45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7 months</v>
      </c>
      <c r="K45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0.65753424657534243</v>
      </c>
      <c r="L45" s="27" t="s">
        <v>17</v>
      </c>
      <c r="M45" s="27">
        <v>56</v>
      </c>
      <c r="N45" s="26">
        <v>230</v>
      </c>
      <c r="O45" s="92">
        <v>32000</v>
      </c>
      <c r="P45" s="26">
        <v>39</v>
      </c>
      <c r="Q45" s="26">
        <v>9</v>
      </c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 t="str">
        <f>TRIM('Extra columns for calculation'!O44)</f>
        <v>Not Active</v>
      </c>
      <c r="DE45" s="26">
        <f>IF(employee_retention_analysis__version_1__xlsb[[#This Row],[Status]]="Active",1,0)</f>
        <v>0</v>
      </c>
      <c r="DF45" s="26">
        <f>IF(employee_retention_analysis__version_1__xlsb[[#This Row],[Status]]="Not Active",1,0)</f>
        <v>1</v>
      </c>
      <c r="DG45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Sep 2022</v>
      </c>
    </row>
    <row r="46" spans="1:111" ht="31.2" x14ac:dyDescent="0.3">
      <c r="A46" s="26" t="s">
        <v>101</v>
      </c>
      <c r="B46" s="26" t="s">
        <v>102</v>
      </c>
      <c r="C46" s="26" t="s">
        <v>15</v>
      </c>
      <c r="D46" s="26" t="s">
        <v>20</v>
      </c>
      <c r="E46" s="27" t="s">
        <v>103</v>
      </c>
      <c r="F46" s="28">
        <v>44154</v>
      </c>
      <c r="G46" s="27">
        <v>25</v>
      </c>
      <c r="H46" s="28">
        <v>43996</v>
      </c>
      <c r="I46" s="28">
        <v>44114</v>
      </c>
      <c r="J46" s="26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3 months</v>
      </c>
      <c r="K46" s="2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0.32328767123287672</v>
      </c>
      <c r="L46" s="27" t="s">
        <v>17</v>
      </c>
      <c r="M46" s="26">
        <v>41</v>
      </c>
      <c r="N46" s="26">
        <v>160</v>
      </c>
      <c r="O46" s="92">
        <v>31000</v>
      </c>
      <c r="P46" s="26">
        <v>30</v>
      </c>
      <c r="Q46" s="26">
        <v>7</v>
      </c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 t="str">
        <f>TRIM('Extra columns for calculation'!O45)</f>
        <v>Not Active</v>
      </c>
      <c r="DE46" s="26">
        <f>IF(employee_retention_analysis__version_1__xlsb[[#This Row],[Status]]="Active",1,0)</f>
        <v>0</v>
      </c>
      <c r="DF46" s="26">
        <f>IF(employee_retention_analysis__version_1__xlsb[[#This Row],[Status]]="Not Active",1,0)</f>
        <v>1</v>
      </c>
      <c r="DG46" s="26" t="str">
        <f>TEXT(IF(employee_retention_analysis__version_1__xlsb[[#This Row],[Status]]="Not Active",employee_retention_analysis__version_1__xlsb[[#This Row],[Last_Working_Day]],employee_retention_analysis__version_1__xlsb[[#This Row],[Hire_Date]]),"mmm yyyy")</f>
        <v>Oct 2020</v>
      </c>
    </row>
  </sheetData>
  <phoneticPr fontId="6" type="noConversion"/>
  <conditionalFormatting sqref="O2">
    <cfRule type="expression" dxfId="10" priority="5">
      <formula>$I2=""</formula>
    </cfRule>
  </conditionalFormatting>
  <conditionalFormatting sqref="O6">
    <cfRule type="expression" dxfId="9" priority="4">
      <formula>$I6=""</formula>
    </cfRule>
  </conditionalFormatting>
  <conditionalFormatting sqref="P2:DG3 A2:N46 P4:Q4 P5:DG7 P8:DC8 DE8:DG8 P9:DG9 P10:Q10 P11:DC11 DE11:DG11 P12:Q12 P13:DG16 P17:Q17 Q18:DF18 P19:Q19 P20:DC20 DF20:DG20 P21:Q21 Q21:DF22 P23:Q23 P26:DF26 P27:Q30 P31:DC31 DE31:DG31 P32:Q40 P41:DC41 DE41:DG41 P42:Q46">
    <cfRule type="expression" dxfId="8" priority="6">
      <formula>$I2=""</formula>
    </cfRule>
  </conditionalFormatting>
  <dataValidations disablePrompts="1" count="5">
    <dataValidation type="custom" errorStyle="warning" allowBlank="1" showInputMessage="1" showErrorMessage="1" error="Hire Date Cannot be Before First Working Day_x000a_" sqref="F47 F1" xr:uid="{71AAAFDC-20B2-4944-8591-80EA982C4134}">
      <formula1>OR(#REF!="",#REF!&lt;#REF!)</formula1>
    </dataValidation>
    <dataValidation type="custom" errorStyle="warning" allowBlank="1" showInputMessage="1" showErrorMessage="1" error="Hire Date Cannot be Before First Working Day_x000a_" sqref="F48:F1048576" xr:uid="{13EE158B-CC6F-4AD4-88D3-3B5E087F9D49}">
      <formula1>OR(F47="",F47&lt;H47)</formula1>
    </dataValidation>
    <dataValidation type="custom" errorStyle="warning" allowBlank="1" showInputMessage="1" showErrorMessage="1" error="Hire Date Must Be Before First Working Day_x000a_" sqref="F2:F46" xr:uid="{4D5E5508-2164-457A-ABA7-6181B66686F4}">
      <formula1>OR(F1="",F1&lt;H1)</formula1>
    </dataValidation>
    <dataValidation type="custom" allowBlank="1" showInputMessage="1" showErrorMessage="1" error="First Working Day Must Be Before Last Working Day_x000a__x000a_" sqref="H2:H46" xr:uid="{C4D80E1D-9891-46F5-95D3-5D9EEA7D990F}">
      <formula1>OR(H2="",H2&lt;I2)</formula1>
    </dataValidation>
    <dataValidation type="custom" allowBlank="1" showInputMessage="1" showErrorMessage="1" error="Last Working Day Must Be After First Working Day" sqref="I2:I46" xr:uid="{92C1791C-4454-4EDA-89A4-F2571DBBB246}">
      <formula1>OR(I2="",I2&gt;H2)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6A8C6-ACFD-42D1-8A0A-3D00E094F3B1}">
  <dimension ref="A1:Z33"/>
  <sheetViews>
    <sheetView topLeftCell="A2" workbookViewId="0">
      <selection activeCell="R3" sqref="R3:T9"/>
    </sheetView>
  </sheetViews>
  <sheetFormatPr defaultRowHeight="14.4" x14ac:dyDescent="0.3"/>
  <cols>
    <col min="1" max="1" width="21.109375" bestFit="1" customWidth="1"/>
    <col min="2" max="2" width="13.33203125" bestFit="1" customWidth="1"/>
    <col min="3" max="3" width="15.6640625" bestFit="1" customWidth="1"/>
    <col min="4" max="4" width="9" bestFit="1" customWidth="1"/>
    <col min="5" max="5" width="9" customWidth="1"/>
    <col min="6" max="6" width="14.88671875" customWidth="1"/>
    <col min="7" max="7" width="13.33203125" bestFit="1" customWidth="1"/>
    <col min="8" max="8" width="60.88671875" bestFit="1" customWidth="1"/>
    <col min="9" max="9" width="13.77734375" bestFit="1" customWidth="1"/>
    <col min="10" max="10" width="13.21875" bestFit="1" customWidth="1"/>
    <col min="11" max="11" width="12.6640625" bestFit="1" customWidth="1"/>
    <col min="12" max="12" width="12" bestFit="1" customWidth="1"/>
    <col min="13" max="13" width="12.77734375" bestFit="1" customWidth="1"/>
    <col min="14" max="14" width="12" bestFit="1" customWidth="1"/>
    <col min="15" max="15" width="12.6640625" bestFit="1" customWidth="1"/>
    <col min="16" max="16" width="12" bestFit="1" customWidth="1"/>
    <col min="18" max="18" width="44.77734375" bestFit="1" customWidth="1"/>
    <col min="19" max="19" width="18" customWidth="1"/>
    <col min="21" max="21" width="8.88671875" customWidth="1"/>
    <col min="25" max="25" width="31.21875" customWidth="1"/>
  </cols>
  <sheetData>
    <row r="1" spans="1:24" ht="15.6" x14ac:dyDescent="0.3">
      <c r="A1" s="1"/>
      <c r="B1" s="1"/>
      <c r="C1" s="1"/>
      <c r="D1" s="1"/>
      <c r="E1" s="1"/>
      <c r="F1" s="1"/>
      <c r="G1" s="1"/>
      <c r="H1" s="1"/>
      <c r="I1" s="1"/>
      <c r="J1" s="56"/>
      <c r="K1" s="56"/>
      <c r="L1" s="56"/>
      <c r="M1" s="56"/>
      <c r="N1" s="56"/>
      <c r="O1" s="56"/>
      <c r="P1" s="56"/>
    </row>
    <row r="2" spans="1:24" ht="15.6" x14ac:dyDescent="0.3">
      <c r="G2" s="56"/>
      <c r="H2" s="3" t="s">
        <v>330</v>
      </c>
      <c r="I2" s="56"/>
      <c r="J2" s="56"/>
      <c r="K2" s="56"/>
      <c r="L2" s="56"/>
      <c r="M2" s="56"/>
      <c r="N2" s="56"/>
      <c r="O2" s="56"/>
      <c r="P2" s="56"/>
    </row>
    <row r="3" spans="1:24" x14ac:dyDescent="0.3">
      <c r="G3" s="56"/>
      <c r="H3" s="56"/>
      <c r="I3" s="56"/>
      <c r="J3" s="56"/>
      <c r="K3" s="56"/>
      <c r="L3" s="56"/>
      <c r="M3" s="56"/>
      <c r="N3" s="56"/>
      <c r="O3" s="56"/>
      <c r="P3" s="56"/>
    </row>
    <row r="4" spans="1:24" x14ac:dyDescent="0.3">
      <c r="G4" s="56"/>
      <c r="H4" s="56" t="s">
        <v>293</v>
      </c>
      <c r="I4" s="56"/>
      <c r="J4" s="56"/>
      <c r="K4" s="56"/>
      <c r="L4" s="56"/>
      <c r="M4" s="56"/>
      <c r="N4" s="56"/>
      <c r="O4" s="56"/>
      <c r="P4" s="56"/>
      <c r="R4" s="52"/>
    </row>
    <row r="5" spans="1:24" ht="15" thickBot="1" x14ac:dyDescent="0.35">
      <c r="G5" s="56"/>
      <c r="H5" s="56"/>
      <c r="I5" s="56"/>
      <c r="J5" s="56"/>
      <c r="K5" s="56"/>
      <c r="L5" s="56"/>
      <c r="M5" s="56"/>
      <c r="N5" s="56"/>
      <c r="O5" s="56"/>
      <c r="P5" s="56"/>
      <c r="R5" s="52"/>
    </row>
    <row r="6" spans="1:24" x14ac:dyDescent="0.3">
      <c r="G6" s="56"/>
      <c r="H6" s="82" t="s">
        <v>294</v>
      </c>
      <c r="I6" s="82"/>
      <c r="J6" s="56"/>
      <c r="K6" s="56"/>
      <c r="L6" s="56"/>
      <c r="M6" s="56"/>
      <c r="N6" s="56"/>
      <c r="O6" s="56"/>
      <c r="P6" s="56"/>
      <c r="R6" s="52"/>
    </row>
    <row r="7" spans="1:24" x14ac:dyDescent="0.3">
      <c r="G7" s="56"/>
      <c r="H7" s="56" t="s">
        <v>295</v>
      </c>
      <c r="I7" s="56">
        <v>0.75380734428110274</v>
      </c>
      <c r="J7" s="56"/>
      <c r="K7" s="56"/>
      <c r="L7" s="56"/>
      <c r="M7" s="56"/>
      <c r="N7" s="56"/>
      <c r="O7" s="56"/>
      <c r="P7" s="56"/>
      <c r="R7" s="52"/>
    </row>
    <row r="8" spans="1:24" x14ac:dyDescent="0.3">
      <c r="G8" s="56"/>
      <c r="H8" s="56" t="s">
        <v>296</v>
      </c>
      <c r="I8" s="56">
        <v>0.56822551229212903</v>
      </c>
      <c r="J8" s="56"/>
      <c r="K8" s="56"/>
      <c r="L8" s="56"/>
      <c r="M8" s="56"/>
      <c r="N8" s="56"/>
      <c r="O8" s="56"/>
      <c r="P8" s="56"/>
      <c r="R8" s="52"/>
    </row>
    <row r="9" spans="1:24" x14ac:dyDescent="0.3">
      <c r="G9" s="56"/>
      <c r="H9" s="56" t="s">
        <v>297</v>
      </c>
      <c r="I9" s="56">
        <v>0.54766482240127801</v>
      </c>
      <c r="J9" s="56"/>
      <c r="K9" s="56"/>
      <c r="L9" s="56"/>
      <c r="M9" s="56"/>
      <c r="N9" s="56"/>
      <c r="O9" s="56"/>
      <c r="P9" s="56"/>
      <c r="R9" s="52"/>
    </row>
    <row r="10" spans="1:24" x14ac:dyDescent="0.3">
      <c r="G10" s="56"/>
      <c r="H10" s="56" t="s">
        <v>298</v>
      </c>
      <c r="I10" s="56">
        <v>1.1350149288823059</v>
      </c>
      <c r="J10" s="56"/>
      <c r="K10" s="56"/>
      <c r="L10" s="56"/>
      <c r="M10" s="56"/>
      <c r="N10" s="56"/>
      <c r="O10" s="56"/>
      <c r="P10" s="56"/>
    </row>
    <row r="11" spans="1:24" ht="15" thickBot="1" x14ac:dyDescent="0.35">
      <c r="G11" s="56"/>
      <c r="H11" s="83" t="s">
        <v>299</v>
      </c>
      <c r="I11" s="83">
        <v>45</v>
      </c>
      <c r="J11" s="56"/>
      <c r="K11" s="56"/>
      <c r="L11" s="56"/>
      <c r="M11" s="56"/>
      <c r="N11" s="56"/>
      <c r="O11" s="56"/>
      <c r="P11" s="56"/>
    </row>
    <row r="12" spans="1:24" x14ac:dyDescent="0.3">
      <c r="G12" s="56"/>
      <c r="H12" s="56"/>
      <c r="I12" s="56"/>
      <c r="J12" s="56"/>
      <c r="K12" s="56"/>
      <c r="L12" s="56"/>
      <c r="M12" s="56"/>
      <c r="N12" s="56"/>
      <c r="O12" s="56"/>
      <c r="P12" s="56"/>
    </row>
    <row r="13" spans="1:24" ht="15" thickBot="1" x14ac:dyDescent="0.35">
      <c r="G13" s="56"/>
      <c r="H13" s="56" t="s">
        <v>300</v>
      </c>
      <c r="I13" s="56"/>
      <c r="J13" s="56"/>
      <c r="K13" s="56"/>
      <c r="L13" s="56"/>
      <c r="M13" s="56"/>
      <c r="N13" s="56"/>
      <c r="O13" s="56"/>
      <c r="P13" s="56"/>
    </row>
    <row r="14" spans="1:24" x14ac:dyDescent="0.3">
      <c r="G14" s="56"/>
      <c r="H14" s="84"/>
      <c r="I14" s="84" t="s">
        <v>305</v>
      </c>
      <c r="J14" s="84" t="s">
        <v>306</v>
      </c>
      <c r="K14" s="84" t="s">
        <v>307</v>
      </c>
      <c r="L14" s="84" t="s">
        <v>308</v>
      </c>
      <c r="M14" s="84" t="s">
        <v>309</v>
      </c>
      <c r="N14" s="56"/>
      <c r="O14" s="56"/>
      <c r="P14" s="56"/>
    </row>
    <row r="15" spans="1:24" x14ac:dyDescent="0.3">
      <c r="G15" s="56"/>
      <c r="H15" s="56" t="s">
        <v>301</v>
      </c>
      <c r="I15" s="56">
        <v>2</v>
      </c>
      <c r="J15" s="56">
        <v>71.20593432722103</v>
      </c>
      <c r="K15" s="56">
        <v>35.602967163610515</v>
      </c>
      <c r="L15" s="56">
        <v>27.636500297831716</v>
      </c>
      <c r="M15" s="56">
        <v>2.1897600531972091E-8</v>
      </c>
      <c r="N15" s="56"/>
      <c r="O15" s="56"/>
      <c r="P15" s="56"/>
      <c r="X15" s="52"/>
    </row>
    <row r="16" spans="1:24" x14ac:dyDescent="0.3">
      <c r="G16" s="56"/>
      <c r="H16" s="56" t="s">
        <v>302</v>
      </c>
      <c r="I16" s="56">
        <v>42</v>
      </c>
      <c r="J16" s="56">
        <v>54.106873328999647</v>
      </c>
      <c r="K16" s="56">
        <v>1.2882588887857058</v>
      </c>
      <c r="L16" s="56"/>
      <c r="M16" s="56"/>
      <c r="N16" s="56"/>
      <c r="O16" s="56"/>
      <c r="P16" s="56"/>
      <c r="X16" s="52"/>
    </row>
    <row r="17" spans="7:26" ht="15" thickBot="1" x14ac:dyDescent="0.35">
      <c r="G17" s="56"/>
      <c r="H17" s="83" t="s">
        <v>303</v>
      </c>
      <c r="I17" s="83">
        <v>44</v>
      </c>
      <c r="J17" s="83">
        <v>125.31280765622068</v>
      </c>
      <c r="K17" s="83"/>
      <c r="L17" s="83"/>
      <c r="M17" s="83"/>
      <c r="N17" s="56"/>
      <c r="O17" s="56"/>
      <c r="P17" s="56"/>
      <c r="X17" s="52"/>
    </row>
    <row r="18" spans="7:26" ht="15" thickBot="1" x14ac:dyDescent="0.35">
      <c r="G18" s="56"/>
      <c r="H18" s="56"/>
      <c r="I18" s="56"/>
      <c r="J18" s="56"/>
      <c r="K18" s="56"/>
      <c r="L18" s="56"/>
      <c r="M18" s="56"/>
      <c r="N18" s="56"/>
      <c r="O18" s="56"/>
      <c r="P18" s="56"/>
      <c r="X18" s="52"/>
    </row>
    <row r="19" spans="7:26" x14ac:dyDescent="0.3">
      <c r="G19" s="56"/>
      <c r="H19" s="84"/>
      <c r="I19" s="84" t="s">
        <v>310</v>
      </c>
      <c r="J19" s="84" t="s">
        <v>298</v>
      </c>
      <c r="K19" s="84" t="s">
        <v>311</v>
      </c>
      <c r="L19" s="84" t="s">
        <v>312</v>
      </c>
      <c r="M19" s="84" t="s">
        <v>313</v>
      </c>
      <c r="N19" s="84" t="s">
        <v>314</v>
      </c>
      <c r="O19" s="84" t="s">
        <v>315</v>
      </c>
      <c r="P19" s="84" t="s">
        <v>316</v>
      </c>
      <c r="X19" s="52"/>
    </row>
    <row r="20" spans="7:26" x14ac:dyDescent="0.3">
      <c r="G20" s="56"/>
      <c r="H20" s="56" t="s">
        <v>304</v>
      </c>
      <c r="I20" s="56">
        <v>-1.1411837288434459</v>
      </c>
      <c r="J20" s="56">
        <v>1.0485443523125095</v>
      </c>
      <c r="K20" s="56">
        <v>-1.0883504606425327</v>
      </c>
      <c r="L20" s="56">
        <v>0.28264641489073006</v>
      </c>
      <c r="M20" s="56">
        <v>-3.2572319008389399</v>
      </c>
      <c r="N20" s="56">
        <v>0.97486444315204812</v>
      </c>
      <c r="O20" s="56">
        <v>-3.2572319008389399</v>
      </c>
      <c r="P20" s="56">
        <v>0.97486444315204812</v>
      </c>
    </row>
    <row r="21" spans="7:26" x14ac:dyDescent="0.3">
      <c r="G21" s="56"/>
      <c r="H21" s="56" t="s">
        <v>317</v>
      </c>
      <c r="I21" s="56">
        <v>1.6293146099120494E-2</v>
      </c>
      <c r="J21" s="56">
        <v>1.9964066580625071E-2</v>
      </c>
      <c r="K21" s="56">
        <v>0.81612361055401561</v>
      </c>
      <c r="L21" s="56">
        <v>0.41903422155188697</v>
      </c>
      <c r="M21" s="56">
        <v>-2.3995971381088183E-2</v>
      </c>
      <c r="N21" s="56">
        <v>5.6582263579329176E-2</v>
      </c>
      <c r="O21" s="56">
        <v>-2.3995971381088183E-2</v>
      </c>
      <c r="P21" s="56">
        <v>5.6582263579329176E-2</v>
      </c>
    </row>
    <row r="22" spans="7:26" ht="15" thickBot="1" x14ac:dyDescent="0.35">
      <c r="G22" s="56"/>
      <c r="H22" s="83" t="s">
        <v>318</v>
      </c>
      <c r="I22" s="83">
        <v>5.0097837888733045E-5</v>
      </c>
      <c r="J22" s="83">
        <v>9.0660355279662256E-6</v>
      </c>
      <c r="K22" s="83">
        <v>5.5258814874699089</v>
      </c>
      <c r="L22" s="83">
        <v>1.9037237572680747E-6</v>
      </c>
      <c r="M22" s="83">
        <v>3.1801837472642439E-5</v>
      </c>
      <c r="N22" s="83">
        <v>6.839383830482365E-5</v>
      </c>
      <c r="O22" s="83">
        <v>3.1801837472642439E-5</v>
      </c>
      <c r="P22" s="83">
        <v>6.839383830482365E-5</v>
      </c>
    </row>
    <row r="28" spans="7:26" x14ac:dyDescent="0.3">
      <c r="O28" s="54"/>
      <c r="P28" s="54"/>
      <c r="R28" s="54"/>
      <c r="S28" s="54"/>
      <c r="T28" s="54"/>
      <c r="U28" s="54"/>
      <c r="V28" s="54"/>
      <c r="W28" s="54"/>
    </row>
    <row r="29" spans="7:26" x14ac:dyDescent="0.3">
      <c r="H29" s="52"/>
      <c r="R29" s="54"/>
      <c r="S29" s="54"/>
      <c r="T29" s="54"/>
      <c r="U29" s="54"/>
      <c r="V29" s="54"/>
      <c r="W29" s="54"/>
      <c r="X29" s="54"/>
      <c r="Y29" s="54"/>
      <c r="Z29" s="54"/>
    </row>
    <row r="30" spans="7:26" x14ac:dyDescent="0.3">
      <c r="H30" s="52"/>
      <c r="R30" s="54"/>
      <c r="S30" s="54"/>
      <c r="T30" s="54"/>
      <c r="U30" s="54"/>
      <c r="V30" s="54"/>
      <c r="W30" s="54"/>
      <c r="X30" s="54"/>
      <c r="Y30" s="54"/>
      <c r="Z30" s="54"/>
    </row>
    <row r="31" spans="7:26" x14ac:dyDescent="0.3">
      <c r="H31" s="52"/>
      <c r="R31" s="54"/>
      <c r="S31" s="54"/>
      <c r="T31" s="54"/>
      <c r="U31" s="54"/>
      <c r="V31" s="54"/>
      <c r="W31" s="54"/>
      <c r="X31" s="54"/>
      <c r="Y31" s="54"/>
      <c r="Z31" s="54"/>
    </row>
    <row r="32" spans="7:26" x14ac:dyDescent="0.3">
      <c r="H32" s="52"/>
      <c r="R32" s="54"/>
      <c r="S32" s="54"/>
      <c r="T32" s="54"/>
      <c r="U32" s="54"/>
      <c r="V32" s="54"/>
      <c r="W32" s="54"/>
      <c r="X32" s="54"/>
      <c r="Y32" s="54"/>
      <c r="Z32" s="54"/>
    </row>
    <row r="33" spans="8:26" x14ac:dyDescent="0.3">
      <c r="H33" s="52"/>
      <c r="R33" s="54"/>
      <c r="S33" s="54"/>
      <c r="T33" s="54"/>
      <c r="U33" s="54"/>
      <c r="V33" s="54"/>
      <c r="W33" s="54"/>
      <c r="X33" s="54"/>
      <c r="Y33" s="54"/>
      <c r="Z33" s="5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35898-7DAF-48E8-972D-2BEEBD8E0E3F}">
  <sheetPr codeName="Sheet2"/>
  <dimension ref="A1:P110"/>
  <sheetViews>
    <sheetView workbookViewId="0">
      <selection activeCell="F22" sqref="F22"/>
    </sheetView>
  </sheetViews>
  <sheetFormatPr defaultRowHeight="14.4" x14ac:dyDescent="0.3"/>
  <cols>
    <col min="1" max="1" width="14.44140625" bestFit="1" customWidth="1"/>
    <col min="2" max="2" width="23.6640625" bestFit="1" customWidth="1"/>
    <col min="3" max="3" width="26.21875" bestFit="1" customWidth="1"/>
    <col min="4" max="4" width="21.21875" customWidth="1"/>
    <col min="5" max="5" width="21.88671875" bestFit="1" customWidth="1"/>
    <col min="6" max="6" width="22.88671875" bestFit="1" customWidth="1"/>
    <col min="7" max="8" width="20.6640625" bestFit="1" customWidth="1"/>
    <col min="9" max="9" width="11.109375" bestFit="1" customWidth="1"/>
    <col min="10" max="10" width="20.6640625" customWidth="1"/>
    <col min="11" max="11" width="23.44140625" customWidth="1"/>
    <col min="12" max="12" width="22.88671875" bestFit="1" customWidth="1"/>
    <col min="13" max="13" width="14.21875" bestFit="1" customWidth="1"/>
    <col min="14" max="14" width="25.77734375" bestFit="1" customWidth="1"/>
    <col min="15" max="15" width="25.5546875" bestFit="1" customWidth="1"/>
    <col min="16" max="16" width="27.5546875" bestFit="1" customWidth="1"/>
    <col min="17" max="17" width="16.6640625" bestFit="1" customWidth="1"/>
  </cols>
  <sheetData>
    <row r="1" spans="1:16" ht="15.6" x14ac:dyDescent="0.3">
      <c r="A1" s="3" t="s">
        <v>173</v>
      </c>
      <c r="B1" s="3" t="s">
        <v>174</v>
      </c>
      <c r="C1" s="3" t="s">
        <v>175</v>
      </c>
      <c r="D1" s="3" t="s">
        <v>176</v>
      </c>
      <c r="E1" s="3" t="s">
        <v>177</v>
      </c>
      <c r="F1" s="3" t="s">
        <v>292</v>
      </c>
      <c r="M1" s="34" t="s">
        <v>277</v>
      </c>
      <c r="N1" s="1" t="s">
        <v>319</v>
      </c>
      <c r="O1" s="1" t="s">
        <v>320</v>
      </c>
      <c r="P1" s="1" t="s">
        <v>321</v>
      </c>
    </row>
    <row r="2" spans="1:16" ht="15.6" x14ac:dyDescent="0.3">
      <c r="A2" s="1">
        <v>2019</v>
      </c>
      <c r="B2" s="2">
        <f>COUNTIFS(employee_retention_analysis__version_1__xlsb[Hire_Date],"&lt;="&amp;DATE(A2,1,1),employee_retention_analysis__version_1__xlsb[Last_Working_Day],"&gt;="&amp;DATE(A2,1,1))+COUNTIFS(employee_retention_analysis__version_1__xlsb[Hire_Date],"&lt;="&amp;DATE(A2,1,1),employee_retention_analysis__version_1__xlsb[Last_Working_Day],"")</f>
        <v>9</v>
      </c>
      <c r="C2" s="1">
        <f>COUNTIFS(employee_retention_analysis__version_1__xlsb[Last_Working_Day],"&gt;="&amp;DATE(A2,1,1),employee_retention_analysis__version_1__xlsb[Last_Working_Day],"&lt;="&amp;DATE(A2,12,31))</f>
        <v>0</v>
      </c>
      <c r="D2" s="2">
        <f>B2-C2</f>
        <v>9</v>
      </c>
      <c r="E2" s="36">
        <f>(D2/B2)</f>
        <v>1</v>
      </c>
      <c r="F2" s="36">
        <f>(Table2[[#This Row],[Employees that left]]/Table2[[#This Row],[Employees at start]])*100</f>
        <v>0</v>
      </c>
      <c r="M2" s="76" t="s">
        <v>34</v>
      </c>
      <c r="N2" s="1">
        <v>7</v>
      </c>
      <c r="O2" s="1">
        <v>3</v>
      </c>
      <c r="P2" s="1">
        <v>4</v>
      </c>
    </row>
    <row r="3" spans="1:16" ht="15.6" x14ac:dyDescent="0.3">
      <c r="A3" s="1">
        <v>2020</v>
      </c>
      <c r="B3" s="2">
        <f>COUNTIFS(employee_retention_analysis__version_1__xlsb[Hire_Date],"&lt;="&amp;DATE(A3,1,1),employee_retention_analysis__version_1__xlsb[Last_Working_Day],"&gt;="&amp;DATE(A3,1,1))+COUNTIFS(employee_retention_analysis__version_1__xlsb[Hire_Date],"&lt;="&amp;DATE(A3,1,1),employee_retention_analysis__version_1__xlsb[Last_Working_Day],"")</f>
        <v>16</v>
      </c>
      <c r="C3" s="1">
        <f>COUNTIFS(employee_retention_analysis__version_1__xlsb[Last_Working_Day],"&gt;="&amp;DATE(A3,1,1),employee_retention_analysis__version_1__xlsb[Last_Working_Day],"&lt;="&amp;DATE(A3,12,31))</f>
        <v>2</v>
      </c>
      <c r="D3" s="1">
        <f t="shared" ref="D3:D7" si="0">B3-C3</f>
        <v>14</v>
      </c>
      <c r="E3" s="36">
        <f>(D3/B3)</f>
        <v>0.875</v>
      </c>
      <c r="F3" s="36">
        <f>Table2[[#This Row],[Employees that left]]/Table2[[#This Row],[Employees at start]]</f>
        <v>0.125</v>
      </c>
      <c r="M3" s="76" t="s">
        <v>55</v>
      </c>
      <c r="N3" s="1">
        <v>7</v>
      </c>
      <c r="O3" s="1">
        <v>2</v>
      </c>
      <c r="P3" s="1">
        <v>5</v>
      </c>
    </row>
    <row r="4" spans="1:16" ht="15.6" x14ac:dyDescent="0.3">
      <c r="A4" s="1">
        <v>2021</v>
      </c>
      <c r="B4" s="2">
        <f>COUNTIFS(employee_retention_analysis__version_1__xlsb[Hire_Date],"&lt;="&amp;DATE(A4,1,1),employee_retention_analysis__version_1__xlsb[Last_Working_Day],"&gt;="&amp;DATE(A4,1,1))+COUNTIFS(employee_retention_analysis__version_1__xlsb[Hire_Date],"&lt;="&amp;DATE(A4,1,1),employee_retention_analysis__version_1__xlsb[Last_Working_Day],"")</f>
        <v>21</v>
      </c>
      <c r="C4" s="1">
        <f>COUNTIFS(employee_retention_analysis__version_1__xlsb[Last_Working_Day],"&gt;="&amp;DATE(A4,1,1),employee_retention_analysis__version_1__xlsb[Last_Working_Day],"&lt;="&amp;DATE(A4,12,31))</f>
        <v>3</v>
      </c>
      <c r="D4" s="1">
        <f t="shared" si="0"/>
        <v>18</v>
      </c>
      <c r="E4" s="36">
        <f t="shared" ref="E4:E7" si="1">(D4/B4)</f>
        <v>0.8571428571428571</v>
      </c>
      <c r="F4" s="36">
        <f>Table2[[#This Row],[Employees that left]]/Table2[[#This Row],[Employees at start]]</f>
        <v>0.14285714285714285</v>
      </c>
      <c r="M4" s="76" t="s">
        <v>29</v>
      </c>
      <c r="N4" s="1">
        <v>7</v>
      </c>
      <c r="O4" s="1">
        <v>1</v>
      </c>
      <c r="P4" s="1">
        <v>6</v>
      </c>
    </row>
    <row r="5" spans="1:16" ht="15.6" x14ac:dyDescent="0.3">
      <c r="A5" s="1">
        <v>2022</v>
      </c>
      <c r="B5" s="2">
        <f>COUNTIFS(employee_retention_analysis__version_1__xlsb[Hire_Date],"&lt;="&amp;DATE(A5,1,1),employee_retention_analysis__version_1__xlsb[Last_Working_Day],"&gt;="&amp;DATE(A5,1,1))+COUNTIFS(employee_retention_analysis__version_1__xlsb[Hire_Date],"&lt;="&amp;DATE(A5,1,1),employee_retention_analysis__version_1__xlsb[Last_Working_Day],"")</f>
        <v>26</v>
      </c>
      <c r="C5" s="1">
        <f>COUNTIFS(employee_retention_analysis__version_1__xlsb[Last_Working_Day],"&gt;="&amp;DATE(A5,1,1),employee_retention_analysis__version_1__xlsb[Last_Working_Day],"&lt;="&amp;DATE(A5,12,31))</f>
        <v>9</v>
      </c>
      <c r="D5" s="1">
        <f t="shared" si="0"/>
        <v>17</v>
      </c>
      <c r="E5" s="36">
        <f t="shared" si="1"/>
        <v>0.65384615384615385</v>
      </c>
      <c r="F5" s="36">
        <f>Table2[[#This Row],[Employees that left]]/Table2[[#This Row],[Employees at start]]</f>
        <v>0.34615384615384615</v>
      </c>
      <c r="M5" s="76" t="s">
        <v>24</v>
      </c>
      <c r="N5" s="1">
        <v>5</v>
      </c>
      <c r="O5" s="1">
        <v>2</v>
      </c>
      <c r="P5" s="1">
        <v>3</v>
      </c>
    </row>
    <row r="6" spans="1:16" ht="15.6" x14ac:dyDescent="0.3">
      <c r="A6" s="1">
        <v>2023</v>
      </c>
      <c r="B6" s="2">
        <f>COUNTIFS(employee_retention_analysis__version_1__xlsb[Hire_Date],"&lt;="&amp;DATE(A6,1,1),employee_retention_analysis__version_1__xlsb[Last_Working_Day],"&gt;="&amp;DATE(A6,1,1))+COUNTIFS(employee_retention_analysis__version_1__xlsb[Hire_Date],"&lt;="&amp;DATE(A6,1,1),employee_retention_analysis__version_1__xlsb[Last_Working_Day],"")</f>
        <v>26</v>
      </c>
      <c r="C6" s="1">
        <f>COUNTIFS(employee_retention_analysis__version_1__xlsb[Last_Working_Day],"&gt;="&amp;DATE(A6,1,1),employee_retention_analysis__version_1__xlsb[Last_Working_Day],"&lt;="&amp;DATE(A6,12,31))</f>
        <v>7</v>
      </c>
      <c r="D6" s="1">
        <f t="shared" si="0"/>
        <v>19</v>
      </c>
      <c r="E6" s="36">
        <f t="shared" si="1"/>
        <v>0.73076923076923073</v>
      </c>
      <c r="F6" s="36">
        <f>Table2[[#This Row],[Employees that left]]/Table2[[#This Row],[Employees at start]]</f>
        <v>0.26923076923076922</v>
      </c>
      <c r="M6" s="76" t="s">
        <v>15</v>
      </c>
      <c r="N6" s="1">
        <v>14</v>
      </c>
      <c r="O6" s="1">
        <v>4</v>
      </c>
      <c r="P6" s="1">
        <v>10</v>
      </c>
    </row>
    <row r="7" spans="1:16" ht="15.6" x14ac:dyDescent="0.3">
      <c r="A7" s="1">
        <v>2024</v>
      </c>
      <c r="B7" s="2">
        <f>COUNTIFS(employee_retention_analysis__version_1__xlsb[Hire_Date],"&lt;="&amp;DATE(A7,1,1),employee_retention_analysis__version_1__xlsb[Last_Working_Day],"&gt;="&amp;DATE(A7,1,1))+COUNTIFS(employee_retention_analysis__version_1__xlsb[Hire_Date],"&lt;="&amp;DATE(A7,1,1),employee_retention_analysis__version_1__xlsb[Last_Working_Day],"")</f>
        <v>24</v>
      </c>
      <c r="C7" s="1">
        <f>COUNTIFS(employee_retention_analysis__version_1__xlsb[Last_Working_Day],"&gt;="&amp;DATE(A7,1,1),employee_retention_analysis__version_1__xlsb[Last_Working_Day],"&lt;="&amp;DATE(A7,12,31))</f>
        <v>10</v>
      </c>
      <c r="D7" s="1">
        <f t="shared" si="0"/>
        <v>14</v>
      </c>
      <c r="E7" s="36">
        <f t="shared" si="1"/>
        <v>0.58333333333333337</v>
      </c>
      <c r="F7" s="36">
        <f>Table2[[#This Row],[Employees that left]]/Table2[[#This Row],[Employees at start]]</f>
        <v>0.41666666666666669</v>
      </c>
      <c r="M7" s="76" t="s">
        <v>43</v>
      </c>
      <c r="N7" s="1">
        <v>5</v>
      </c>
      <c r="O7" s="1">
        <v>2</v>
      </c>
      <c r="P7" s="1">
        <v>3</v>
      </c>
    </row>
    <row r="8" spans="1:16" ht="15.6" x14ac:dyDescent="0.3">
      <c r="F8" s="32"/>
      <c r="M8" s="76" t="s">
        <v>278</v>
      </c>
      <c r="N8" s="1">
        <v>45</v>
      </c>
      <c r="O8" s="1">
        <v>14</v>
      </c>
      <c r="P8" s="1">
        <v>31</v>
      </c>
    </row>
    <row r="12" spans="1:16" ht="15.6" x14ac:dyDescent="0.3">
      <c r="A12" s="34" t="s">
        <v>2</v>
      </c>
      <c r="B12" s="1" t="s">
        <v>283</v>
      </c>
      <c r="C12" s="1" t="s">
        <v>329</v>
      </c>
      <c r="D12" s="1" t="s">
        <v>328</v>
      </c>
      <c r="E12" s="1" t="s">
        <v>281</v>
      </c>
      <c r="F12" s="1" t="s">
        <v>284</v>
      </c>
      <c r="G12" s="1" t="s">
        <v>282</v>
      </c>
      <c r="H12" s="38" t="s">
        <v>285</v>
      </c>
      <c r="N12" s="1"/>
      <c r="O12" s="4"/>
      <c r="P12" s="4"/>
    </row>
    <row r="13" spans="1:16" ht="15.6" x14ac:dyDescent="0.3">
      <c r="A13" s="37" t="s">
        <v>34</v>
      </c>
      <c r="B13" s="35">
        <v>61.714285714285715</v>
      </c>
      <c r="C13" s="1">
        <v>3</v>
      </c>
      <c r="D13" s="57">
        <v>77857.142857142855</v>
      </c>
      <c r="E13" s="1">
        <v>7</v>
      </c>
      <c r="F13" s="35">
        <v>17.714285714285715</v>
      </c>
      <c r="G13" s="35">
        <v>125.71428571428571</v>
      </c>
      <c r="H13" s="36">
        <f>C13/E13</f>
        <v>0.42857142857142855</v>
      </c>
      <c r="N13" s="4"/>
      <c r="O13" s="4"/>
      <c r="P13" s="4"/>
    </row>
    <row r="14" spans="1:16" ht="15.6" x14ac:dyDescent="0.3">
      <c r="A14" s="37" t="s">
        <v>55</v>
      </c>
      <c r="B14" s="35">
        <v>63</v>
      </c>
      <c r="C14" s="1">
        <v>2</v>
      </c>
      <c r="D14" s="57">
        <v>70571.428571428565</v>
      </c>
      <c r="E14" s="1">
        <v>7</v>
      </c>
      <c r="F14" s="35">
        <v>32.857142857142854</v>
      </c>
      <c r="G14" s="35">
        <v>164.28571428571428</v>
      </c>
      <c r="H14" s="36">
        <f t="shared" ref="H14:H18" si="2">C14/E14</f>
        <v>0.2857142857142857</v>
      </c>
    </row>
    <row r="15" spans="1:16" ht="15.6" x14ac:dyDescent="0.3">
      <c r="A15" s="37" t="s">
        <v>29</v>
      </c>
      <c r="B15" s="35">
        <v>60.714285714285715</v>
      </c>
      <c r="C15" s="1">
        <v>1</v>
      </c>
      <c r="D15" s="57">
        <v>66285.71428571429</v>
      </c>
      <c r="E15" s="1">
        <v>7</v>
      </c>
      <c r="F15" s="35">
        <v>39.428571428571431</v>
      </c>
      <c r="G15" s="35">
        <v>202.85714285714286</v>
      </c>
      <c r="H15" s="36">
        <f t="shared" si="2"/>
        <v>0.14285714285714285</v>
      </c>
    </row>
    <row r="16" spans="1:16" ht="15.6" x14ac:dyDescent="0.3">
      <c r="A16" s="37" t="s">
        <v>24</v>
      </c>
      <c r="B16" s="35">
        <v>60.6</v>
      </c>
      <c r="C16" s="1">
        <v>2</v>
      </c>
      <c r="D16" s="57">
        <v>66200</v>
      </c>
      <c r="E16" s="1">
        <v>5</v>
      </c>
      <c r="F16" s="35">
        <v>30.8</v>
      </c>
      <c r="G16" s="35">
        <v>164</v>
      </c>
      <c r="H16" s="36">
        <f t="shared" si="2"/>
        <v>0.4</v>
      </c>
    </row>
    <row r="17" spans="1:11" ht="15.6" x14ac:dyDescent="0.3">
      <c r="A17" s="37" t="s">
        <v>15</v>
      </c>
      <c r="B17" s="35">
        <v>68.785714285714292</v>
      </c>
      <c r="C17" s="1">
        <v>4</v>
      </c>
      <c r="D17" s="57">
        <v>84428.571428571435</v>
      </c>
      <c r="E17" s="1">
        <v>14</v>
      </c>
      <c r="F17" s="35">
        <v>48.214285714285715</v>
      </c>
      <c r="G17" s="35">
        <v>194.28571428571428</v>
      </c>
      <c r="H17" s="36">
        <f t="shared" si="2"/>
        <v>0.2857142857142857</v>
      </c>
    </row>
    <row r="18" spans="1:11" ht="15.6" x14ac:dyDescent="0.3">
      <c r="A18" s="37" t="s">
        <v>43</v>
      </c>
      <c r="B18" s="35">
        <v>60.4</v>
      </c>
      <c r="C18" s="1">
        <v>2</v>
      </c>
      <c r="D18" s="57">
        <v>68000</v>
      </c>
      <c r="E18" s="1">
        <v>5</v>
      </c>
      <c r="F18" s="35">
        <v>34.6</v>
      </c>
      <c r="G18" s="35">
        <v>180</v>
      </c>
      <c r="H18" s="36">
        <f t="shared" si="2"/>
        <v>0.4</v>
      </c>
    </row>
    <row r="21" spans="1:11" x14ac:dyDescent="0.3">
      <c r="J21" s="21"/>
    </row>
    <row r="22" spans="1:11" x14ac:dyDescent="0.3">
      <c r="J22" s="21"/>
    </row>
    <row r="23" spans="1:11" ht="15" thickBot="1" x14ac:dyDescent="0.35">
      <c r="I23" s="4"/>
      <c r="J23" s="21"/>
    </row>
    <row r="24" spans="1:11" ht="16.8" thickTop="1" thickBot="1" x14ac:dyDescent="0.35">
      <c r="A24" s="3" t="s">
        <v>288</v>
      </c>
      <c r="B24" s="3" t="s">
        <v>286</v>
      </c>
      <c r="C24" s="3" t="s">
        <v>287</v>
      </c>
      <c r="D24" s="3" t="s">
        <v>276</v>
      </c>
      <c r="E24" s="3" t="s">
        <v>10</v>
      </c>
      <c r="G24" s="17">
        <v>2019</v>
      </c>
      <c r="H24" s="18">
        <f>COUNTIFS(employee_retention_analysis__version_1__xlsb[Hire_Date],"&lt;="&amp;DATE(G24,1,1),employee_retention_analysis__version_1__xlsb[Last_Working_Day],"&gt;="&amp;DATE(G24,1,1))+COUNTIFS(employee_retention_analysis__version_1__xlsb[Hire_Date],"&lt;="&amp;DATE(G24,1,1),employee_retention_analysis__version_1__xlsb[Last_Working_Day],"")</f>
        <v>9</v>
      </c>
      <c r="I24" s="17">
        <f>COUNTIFS(employee_retention_analysis__version_1__xlsb[Last_Working_Day],"&gt;="&amp;DATE(G24,1,1),employee_retention_analysis__version_1__xlsb[Last_Working_Day],"&lt;="&amp;DATE(G24,12,31))</f>
        <v>0</v>
      </c>
      <c r="J24" s="18">
        <f>H24-I24</f>
        <v>9</v>
      </c>
      <c r="K24" s="41">
        <f t="shared" ref="K24" si="3">(J24/H24)</f>
        <v>1</v>
      </c>
    </row>
    <row r="25" spans="1:11" ht="16.8" thickTop="1" thickBot="1" x14ac:dyDescent="0.35">
      <c r="A25" s="3" t="s">
        <v>286</v>
      </c>
      <c r="B25" s="39">
        <f>1</f>
        <v>1</v>
      </c>
      <c r="C25" s="39">
        <f ca="1">CORREL(employee_retention_analysis__version_1__xlsb[Tenure (Years)],employee_retention_analysis__version_1__xlsb[Onboarding _Duration (Days)])</f>
        <v>0.16382623185265899</v>
      </c>
      <c r="D25" s="39">
        <f ca="1">CORREL(employee_retention_analysis__version_1__xlsb[Performance_Score],employee_retention_analysis__version_1__xlsb[Tenure (Years)])</f>
        <v>0.50425709892683568</v>
      </c>
      <c r="E25" s="39">
        <f ca="1">CORREL(employee_retention_analysis__version_1__xlsb[Salary],employee_retention_analysis__version_1__xlsb[Tenure (Years)])</f>
        <v>0.74910767273008261</v>
      </c>
      <c r="G25" s="19">
        <v>2020</v>
      </c>
      <c r="H25" s="20">
        <f>COUNTIFS(employee_retention_analysis__version_1__xlsb[Hire_Date],"&lt;="&amp;DATE(G25,1,1),employee_retention_analysis__version_1__xlsb[Last_Working_Day],"&gt;="&amp;DATE(G25,1,1))+COUNTIFS(employee_retention_analysis__version_1__xlsb[Hire_Date],"&lt;="&amp;DATE(G25,1,1),employee_retention_analysis__version_1__xlsb[Last_Working_Day],"")</f>
        <v>16</v>
      </c>
      <c r="I25" s="19">
        <f>COUNTIFS(employee_retention_analysis__version_1__xlsb[Last_Working_Day],"&gt;="&amp;DATE(G25,1,1),employee_retention_analysis__version_1__xlsb[Last_Working_Day],"&lt;="&amp;DATE(G25,12,31))</f>
        <v>2</v>
      </c>
      <c r="J25" s="19">
        <f t="shared" ref="J25:J29" si="4">H25-I25</f>
        <v>14</v>
      </c>
      <c r="K25" s="42">
        <f>(J25/H25)</f>
        <v>0.875</v>
      </c>
    </row>
    <row r="26" spans="1:11" ht="16.8" thickTop="1" thickBot="1" x14ac:dyDescent="0.35">
      <c r="A26" s="3" t="s">
        <v>287</v>
      </c>
      <c r="B26" s="39">
        <f ca="1">CORREL(employee_retention_analysis__version_1__xlsb[Tenure (Years)],employee_retention_analysis__version_1__xlsb[Onboarding _Duration (Days)])</f>
        <v>0.16382623185265899</v>
      </c>
      <c r="C26" s="39">
        <v>1</v>
      </c>
      <c r="D26" s="39">
        <f>CORREL(employee_retention_analysis__version_1__xlsb[Onboarding _Duration (Days)],employee_retention_analysis__version_1__xlsb[Performance_Score])</f>
        <v>0.32680698279190867</v>
      </c>
      <c r="E26" s="39">
        <f>C28</f>
        <v>0.15680447437565107</v>
      </c>
      <c r="G26" s="17">
        <v>2021</v>
      </c>
      <c r="H26" s="18">
        <f>COUNTIFS(employee_retention_analysis__version_1__xlsb[Hire_Date],"&lt;="&amp;DATE(G26,1,1),employee_retention_analysis__version_1__xlsb[Last_Working_Day],"&gt;="&amp;DATE(G26,1,1))+COUNTIFS(employee_retention_analysis__version_1__xlsb[Hire_Date],"&lt;="&amp;DATE(G26,1,1),employee_retention_analysis__version_1__xlsb[Last_Working_Day],"")</f>
        <v>21</v>
      </c>
      <c r="I26" s="17">
        <f>COUNTIFS(employee_retention_analysis__version_1__xlsb[Last_Working_Day],"&gt;="&amp;DATE(G26,1,1),employee_retention_analysis__version_1__xlsb[Last_Working_Day],"&lt;="&amp;DATE(G26,12,31))</f>
        <v>3</v>
      </c>
      <c r="J26" s="17">
        <f t="shared" si="4"/>
        <v>18</v>
      </c>
      <c r="K26" s="41">
        <f t="shared" ref="K26:K29" si="5">(J26/H26)</f>
        <v>0.8571428571428571</v>
      </c>
    </row>
    <row r="27" spans="1:11" ht="16.8" thickTop="1" thickBot="1" x14ac:dyDescent="0.35">
      <c r="A27" s="3" t="s">
        <v>276</v>
      </c>
      <c r="B27" s="39">
        <f ca="1">CORREL(employee_retention_analysis__version_1__xlsb[Tenure (Years)],employee_retention_analysis__version_1__xlsb[Performance_Score])</f>
        <v>0.50425709892683568</v>
      </c>
      <c r="C27" s="39">
        <f>CORREL(employee_retention_analysis__version_1__xlsb[Onboarding _Duration (Days)],employee_retention_analysis__version_1__xlsb[Performance_Score])</f>
        <v>0.32680698279190867</v>
      </c>
      <c r="D27" s="39">
        <v>1</v>
      </c>
      <c r="E27" s="39">
        <f>D28</f>
        <v>0.58336008948464335</v>
      </c>
      <c r="G27" s="19">
        <v>2022</v>
      </c>
      <c r="H27" s="20">
        <f>COUNTIFS(employee_retention_analysis__version_1__xlsb[Hire_Date],"&lt;="&amp;DATE(G27,1,1),employee_retention_analysis__version_1__xlsb[Last_Working_Day],"&gt;="&amp;DATE(G27,1,1))+COUNTIFS(employee_retention_analysis__version_1__xlsb[Hire_Date],"&lt;="&amp;DATE(G27,1,1),employee_retention_analysis__version_1__xlsb[Last_Working_Day],"")</f>
        <v>26</v>
      </c>
      <c r="I27" s="19">
        <f>COUNTIFS(employee_retention_analysis__version_1__xlsb[Last_Working_Day],"&gt;="&amp;DATE(G27,1,1),employee_retention_analysis__version_1__xlsb[Last_Working_Day],"&lt;="&amp;DATE(G27,12,31))</f>
        <v>9</v>
      </c>
      <c r="J27" s="19">
        <f t="shared" si="4"/>
        <v>17</v>
      </c>
      <c r="K27" s="42">
        <f t="shared" si="5"/>
        <v>0.65384615384615385</v>
      </c>
    </row>
    <row r="28" spans="1:11" ht="16.8" thickTop="1" thickBot="1" x14ac:dyDescent="0.35">
      <c r="A28" s="3" t="s">
        <v>10</v>
      </c>
      <c r="B28" s="39">
        <f ca="1">CORREL(employee_retention_analysis__version_1__xlsb[Tenure (Years)],employee_retention_analysis__version_1__xlsb[Salary])</f>
        <v>0.74910767273008261</v>
      </c>
      <c r="C28" s="39">
        <f>CORREL(employee_retention_analysis__version_1__xlsb[Salary],employee_retention_analysis__version_1__xlsb[Onboarding _Duration (Days)])</f>
        <v>0.15680447437565107</v>
      </c>
      <c r="D28" s="39">
        <f>CORREL(employee_retention_analysis__version_1__xlsb[Performance_Score],employee_retention_analysis__version_1__xlsb[Salary])</f>
        <v>0.58336008948464335</v>
      </c>
      <c r="E28" s="39">
        <f>1</f>
        <v>1</v>
      </c>
      <c r="G28" s="17">
        <v>2023</v>
      </c>
      <c r="H28" s="18">
        <f>COUNTIFS(employee_retention_analysis__version_1__xlsb[Hire_Date],"&lt;="&amp;DATE(G28,1,1),employee_retention_analysis__version_1__xlsb[Last_Working_Day],"&gt;="&amp;DATE(G28,1,1))+COUNTIFS(employee_retention_analysis__version_1__xlsb[Hire_Date],"&lt;="&amp;DATE(G28,1,1),employee_retention_analysis__version_1__xlsb[Last_Working_Day],"")</f>
        <v>26</v>
      </c>
      <c r="I28" s="17">
        <f>COUNTIFS(employee_retention_analysis__version_1__xlsb[Last_Working_Day],"&gt;="&amp;DATE(G28,1,1),employee_retention_analysis__version_1__xlsb[Last_Working_Day],"&lt;="&amp;DATE(G28,12,31))</f>
        <v>7</v>
      </c>
      <c r="J28" s="17">
        <f t="shared" si="4"/>
        <v>19</v>
      </c>
      <c r="K28" s="41">
        <f t="shared" si="5"/>
        <v>0.73076923076923073</v>
      </c>
    </row>
    <row r="29" spans="1:11" ht="16.8" thickTop="1" thickBot="1" x14ac:dyDescent="0.35">
      <c r="G29" s="19">
        <v>2024</v>
      </c>
      <c r="H29" s="20">
        <f>COUNTIFS(employee_retention_analysis__version_1__xlsb[Hire_Date],"&lt;="&amp;DATE(G29,1,1),employee_retention_analysis__version_1__xlsb[Last_Working_Day],"&gt;="&amp;DATE(G29,1,1))+COUNTIFS(employee_retention_analysis__version_1__xlsb[Hire_Date],"&lt;="&amp;DATE(G29,1,1),employee_retention_analysis__version_1__xlsb[Last_Working_Day],"")</f>
        <v>24</v>
      </c>
      <c r="I29" s="19">
        <f>COUNTIFS(employee_retention_analysis__version_1__xlsb[Last_Working_Day],"&gt;="&amp;DATE(G29,1,1),employee_retention_analysis__version_1__xlsb[Last_Working_Day],"&lt;="&amp;DATE(G29,12,31))</f>
        <v>10</v>
      </c>
      <c r="J29" s="19">
        <f t="shared" si="4"/>
        <v>14</v>
      </c>
      <c r="K29" s="42">
        <f t="shared" si="5"/>
        <v>0.58333333333333337</v>
      </c>
    </row>
    <row r="30" spans="1:11" ht="15" thickTop="1" x14ac:dyDescent="0.3">
      <c r="H30" s="4"/>
      <c r="I30" s="4"/>
      <c r="J30" s="21"/>
    </row>
    <row r="31" spans="1:11" x14ac:dyDescent="0.3">
      <c r="H31" s="4"/>
      <c r="I31" s="4"/>
      <c r="J31" s="21"/>
    </row>
    <row r="32" spans="1:11" x14ac:dyDescent="0.3">
      <c r="H32" s="4"/>
      <c r="I32" s="4"/>
      <c r="J32" s="21"/>
    </row>
    <row r="33" spans="8:10" x14ac:dyDescent="0.3">
      <c r="H33" s="4"/>
      <c r="I33" s="4"/>
      <c r="J33" s="21"/>
    </row>
    <row r="34" spans="8:10" x14ac:dyDescent="0.3">
      <c r="H34" s="4"/>
      <c r="I34" s="4"/>
      <c r="J34" s="21"/>
    </row>
    <row r="35" spans="8:10" x14ac:dyDescent="0.3">
      <c r="H35" s="4"/>
      <c r="I35" s="4"/>
      <c r="J35" s="21"/>
    </row>
    <row r="36" spans="8:10" x14ac:dyDescent="0.3">
      <c r="H36" s="4"/>
      <c r="I36" s="4"/>
      <c r="J36" s="21"/>
    </row>
    <row r="37" spans="8:10" x14ac:dyDescent="0.3">
      <c r="H37" s="4"/>
      <c r="I37" s="4"/>
      <c r="J37" s="21"/>
    </row>
    <row r="38" spans="8:10" x14ac:dyDescent="0.3">
      <c r="H38" s="4"/>
      <c r="I38" s="4"/>
      <c r="J38" s="21"/>
    </row>
    <row r="39" spans="8:10" x14ac:dyDescent="0.3">
      <c r="H39" s="4"/>
      <c r="I39" s="4"/>
      <c r="J39" s="21"/>
    </row>
    <row r="40" spans="8:10" x14ac:dyDescent="0.3">
      <c r="H40" s="4"/>
      <c r="I40" s="4"/>
      <c r="J40" s="21"/>
    </row>
    <row r="41" spans="8:10" x14ac:dyDescent="0.3">
      <c r="H41" s="4"/>
      <c r="I41" s="4"/>
      <c r="J41" s="21"/>
    </row>
    <row r="42" spans="8:10" x14ac:dyDescent="0.3">
      <c r="H42" s="4"/>
      <c r="I42" s="4"/>
      <c r="J42" s="21"/>
    </row>
    <row r="43" spans="8:10" x14ac:dyDescent="0.3">
      <c r="H43" s="4"/>
      <c r="I43" s="4"/>
      <c r="J43" s="21"/>
    </row>
    <row r="44" spans="8:10" x14ac:dyDescent="0.3">
      <c r="H44" s="4"/>
      <c r="I44" s="4"/>
      <c r="J44" s="21"/>
    </row>
    <row r="45" spans="8:10" x14ac:dyDescent="0.3">
      <c r="H45" s="4"/>
      <c r="I45" s="4"/>
      <c r="J45" s="21"/>
    </row>
    <row r="46" spans="8:10" x14ac:dyDescent="0.3">
      <c r="H46" s="4"/>
      <c r="I46" s="4"/>
      <c r="J46" s="21"/>
    </row>
    <row r="47" spans="8:10" x14ac:dyDescent="0.3">
      <c r="H47" s="4"/>
      <c r="I47" s="4"/>
      <c r="J47" s="21"/>
    </row>
    <row r="48" spans="8:10" x14ac:dyDescent="0.3">
      <c r="H48" s="4"/>
      <c r="I48" s="4"/>
      <c r="J48" s="21"/>
    </row>
    <row r="49" spans="3:10" x14ac:dyDescent="0.3">
      <c r="H49" s="4"/>
      <c r="I49" s="4"/>
      <c r="J49" s="21"/>
    </row>
    <row r="50" spans="3:10" x14ac:dyDescent="0.3">
      <c r="H50" s="4"/>
      <c r="I50" s="4"/>
      <c r="J50" s="21"/>
    </row>
    <row r="51" spans="3:10" x14ac:dyDescent="0.3">
      <c r="H51" s="4"/>
      <c r="I51" s="4"/>
      <c r="J51" s="21"/>
    </row>
    <row r="52" spans="3:10" x14ac:dyDescent="0.3">
      <c r="C52" s="5"/>
      <c r="D52" s="5"/>
      <c r="H52" s="4"/>
      <c r="J52" s="21"/>
    </row>
    <row r="53" spans="3:10" x14ac:dyDescent="0.3">
      <c r="H53" s="4"/>
      <c r="J53" s="21"/>
    </row>
    <row r="54" spans="3:10" x14ac:dyDescent="0.3">
      <c r="H54" s="4"/>
      <c r="J54" s="21"/>
    </row>
    <row r="55" spans="3:10" x14ac:dyDescent="0.3">
      <c r="H55" s="4"/>
      <c r="J55" s="21"/>
    </row>
    <row r="56" spans="3:10" x14ac:dyDescent="0.3">
      <c r="H56" s="4"/>
      <c r="J56" s="21"/>
    </row>
    <row r="57" spans="3:10" x14ac:dyDescent="0.3">
      <c r="H57" s="4"/>
      <c r="J57" s="21"/>
    </row>
    <row r="58" spans="3:10" x14ac:dyDescent="0.3">
      <c r="H58" s="4"/>
    </row>
    <row r="110" spans="4:4" x14ac:dyDescent="0.3">
      <c r="D110" s="4"/>
    </row>
  </sheetData>
  <pageMargins left="0.7" right="0.7" top="0.75" bottom="0.75" header="0.3" footer="0.3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6827F-7600-4153-B62C-9721EB1286F9}">
  <dimension ref="D3:J25"/>
  <sheetViews>
    <sheetView topLeftCell="A2" workbookViewId="0">
      <selection activeCell="H27" sqref="H27"/>
    </sheetView>
  </sheetViews>
  <sheetFormatPr defaultRowHeight="14.4" x14ac:dyDescent="0.3"/>
  <cols>
    <col min="1" max="1" width="12.44140625" bestFit="1" customWidth="1"/>
    <col min="2" max="2" width="26.44140625" bestFit="1" customWidth="1"/>
    <col min="3" max="3" width="15.109375" bestFit="1" customWidth="1"/>
    <col min="4" max="4" width="12.6640625" bestFit="1" customWidth="1"/>
    <col min="6" max="6" width="26.109375" bestFit="1" customWidth="1"/>
    <col min="7" max="7" width="14.6640625" bestFit="1" customWidth="1"/>
    <col min="8" max="8" width="26.109375" bestFit="1" customWidth="1"/>
    <col min="9" max="9" width="14.6640625" bestFit="1" customWidth="1"/>
    <col min="10" max="10" width="13.21875" bestFit="1" customWidth="1"/>
  </cols>
  <sheetData>
    <row r="3" spans="4:10" x14ac:dyDescent="0.3">
      <c r="D3" s="51"/>
      <c r="G3" t="s">
        <v>173</v>
      </c>
      <c r="H3" t="s">
        <v>337</v>
      </c>
      <c r="I3" t="s">
        <v>280</v>
      </c>
      <c r="J3" s="51" t="s">
        <v>177</v>
      </c>
    </row>
    <row r="4" spans="4:10" x14ac:dyDescent="0.3">
      <c r="D4" s="54"/>
      <c r="G4" s="25" t="s">
        <v>331</v>
      </c>
      <c r="H4" s="53">
        <v>69.333333333333329</v>
      </c>
      <c r="I4" s="55">
        <v>96444.444444444438</v>
      </c>
      <c r="J4" s="54">
        <v>100</v>
      </c>
    </row>
    <row r="5" spans="4:10" x14ac:dyDescent="0.3">
      <c r="D5" s="54"/>
      <c r="G5" s="25" t="s">
        <v>332</v>
      </c>
      <c r="H5" s="53">
        <v>65.142857142857139</v>
      </c>
      <c r="I5" s="55">
        <v>81428.571428571435</v>
      </c>
      <c r="J5" s="54">
        <v>100</v>
      </c>
    </row>
    <row r="6" spans="4:10" x14ac:dyDescent="0.3">
      <c r="D6" s="54"/>
      <c r="G6" s="25" t="s">
        <v>333</v>
      </c>
      <c r="H6" s="53">
        <v>64.428571428571431</v>
      </c>
      <c r="I6" s="55">
        <v>65714.28571428571</v>
      </c>
      <c r="J6" s="54">
        <v>88</v>
      </c>
    </row>
    <row r="7" spans="4:10" x14ac:dyDescent="0.3">
      <c r="D7" s="54"/>
      <c r="G7" s="25" t="s">
        <v>334</v>
      </c>
      <c r="H7" s="53">
        <v>63.625</v>
      </c>
      <c r="I7" s="55">
        <v>76625</v>
      </c>
      <c r="J7" s="54">
        <v>86</v>
      </c>
    </row>
    <row r="8" spans="4:10" x14ac:dyDescent="0.3">
      <c r="D8" s="54"/>
      <c r="G8" s="25" t="s">
        <v>335</v>
      </c>
      <c r="H8" s="53">
        <v>61.625</v>
      </c>
      <c r="I8" s="55">
        <v>64000</v>
      </c>
      <c r="J8" s="54">
        <v>65</v>
      </c>
    </row>
    <row r="9" spans="4:10" x14ac:dyDescent="0.3">
      <c r="D9" s="54"/>
      <c r="G9" s="25" t="s">
        <v>336</v>
      </c>
      <c r="H9" s="53">
        <v>55.5</v>
      </c>
      <c r="I9" s="55">
        <v>55500</v>
      </c>
      <c r="J9" s="54">
        <v>73</v>
      </c>
    </row>
    <row r="25" spans="9:9" x14ac:dyDescent="0.3">
      <c r="I25" t="s">
        <v>338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47D7A-D7E2-4D8A-B442-05C369772F59}">
  <dimension ref="A1:T13"/>
  <sheetViews>
    <sheetView topLeftCell="E1" workbookViewId="0">
      <selection activeCell="S7" sqref="R7:S7"/>
    </sheetView>
  </sheetViews>
  <sheetFormatPr defaultRowHeight="14.4" x14ac:dyDescent="0.3"/>
  <cols>
    <col min="1" max="1" width="10.21875" customWidth="1"/>
    <col min="2" max="2" width="13" customWidth="1"/>
    <col min="3" max="3" width="11.44140625" customWidth="1"/>
    <col min="4" max="4" width="21.88671875" bestFit="1" customWidth="1"/>
    <col min="5" max="5" width="14.88671875" customWidth="1"/>
    <col min="6" max="6" width="11.21875" customWidth="1"/>
    <col min="7" max="7" width="11.88671875" customWidth="1"/>
    <col min="8" max="8" width="14.21875" customWidth="1"/>
    <col min="9" max="9" width="13.33203125" customWidth="1"/>
    <col min="10" max="10" width="17.44140625" customWidth="1"/>
    <col min="12" max="12" width="11.88671875" customWidth="1"/>
    <col min="14" max="14" width="12.109375" bestFit="1" customWidth="1"/>
    <col min="15" max="15" width="10.6640625" customWidth="1"/>
    <col min="16" max="16" width="11.21875" customWidth="1"/>
    <col min="18" max="18" width="25.77734375" customWidth="1"/>
    <col min="19" max="19" width="15.44140625" customWidth="1"/>
    <col min="21" max="21" width="31" customWidth="1"/>
    <col min="22" max="22" width="20.109375" customWidth="1"/>
    <col min="23" max="23" width="14.5546875" customWidth="1"/>
  </cols>
  <sheetData>
    <row r="1" spans="1:20" ht="42.6" thickTop="1" thickBot="1" x14ac:dyDescent="0.3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178</v>
      </c>
      <c r="H1" s="14" t="s">
        <v>179</v>
      </c>
      <c r="I1" s="14" t="s">
        <v>6</v>
      </c>
      <c r="J1" s="14" t="s">
        <v>181</v>
      </c>
      <c r="K1" s="14" t="s">
        <v>182</v>
      </c>
      <c r="L1" s="14" t="s">
        <v>8</v>
      </c>
      <c r="M1" s="14" t="s">
        <v>9</v>
      </c>
      <c r="N1" s="14" t="s">
        <v>10</v>
      </c>
      <c r="O1" s="14" t="s">
        <v>11</v>
      </c>
      <c r="P1" s="14" t="s">
        <v>183</v>
      </c>
    </row>
    <row r="2" spans="1:20" ht="63.6" thickTop="1" thickBot="1" x14ac:dyDescent="0.35">
      <c r="A2" s="47" t="s">
        <v>37</v>
      </c>
      <c r="B2" s="47" t="s">
        <v>38</v>
      </c>
      <c r="C2" s="47" t="s">
        <v>15</v>
      </c>
      <c r="D2" s="47" t="s">
        <v>39</v>
      </c>
      <c r="E2" s="43" t="s">
        <v>40</v>
      </c>
      <c r="F2" s="58">
        <v>43291</v>
      </c>
      <c r="G2" s="43">
        <v>60</v>
      </c>
      <c r="H2" s="58">
        <v>43475</v>
      </c>
      <c r="I2" s="58"/>
      <c r="J2" s="47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9 months</v>
      </c>
      <c r="K2" s="5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6.8109589041095893</v>
      </c>
      <c r="L2" s="60">
        <v>90</v>
      </c>
      <c r="M2" s="61">
        <v>210</v>
      </c>
      <c r="N2" s="67">
        <v>115000</v>
      </c>
      <c r="O2" s="61">
        <v>28</v>
      </c>
      <c r="P2" s="61" t="s">
        <v>184</v>
      </c>
    </row>
    <row r="3" spans="1:20" ht="79.2" thickTop="1" thickBot="1" x14ac:dyDescent="0.35">
      <c r="A3" s="63" t="s">
        <v>62</v>
      </c>
      <c r="B3" s="63" t="s">
        <v>63</v>
      </c>
      <c r="C3" s="63" t="s">
        <v>15</v>
      </c>
      <c r="D3" s="63" t="s">
        <v>20</v>
      </c>
      <c r="E3" s="45" t="s">
        <v>64</v>
      </c>
      <c r="F3" s="64">
        <v>43585</v>
      </c>
      <c r="G3" s="45">
        <v>40</v>
      </c>
      <c r="H3" s="64">
        <v>43660</v>
      </c>
      <c r="I3" s="64"/>
      <c r="J3" s="63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3 months</v>
      </c>
      <c r="K3" s="65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6.3041095890410963</v>
      </c>
      <c r="L3" s="45">
        <v>85</v>
      </c>
      <c r="M3" s="66">
        <v>140</v>
      </c>
      <c r="N3" s="68">
        <v>112000</v>
      </c>
      <c r="O3" s="66">
        <v>30</v>
      </c>
      <c r="P3" s="66" t="s">
        <v>184</v>
      </c>
    </row>
    <row r="4" spans="1:20" ht="63.6" thickTop="1" thickBot="1" x14ac:dyDescent="0.35">
      <c r="A4" s="47" t="s">
        <v>18</v>
      </c>
      <c r="B4" s="47" t="s">
        <v>19</v>
      </c>
      <c r="C4" s="47" t="s">
        <v>15</v>
      </c>
      <c r="D4" s="47" t="s">
        <v>322</v>
      </c>
      <c r="E4" s="43" t="s">
        <v>21</v>
      </c>
      <c r="F4" s="58">
        <v>43135</v>
      </c>
      <c r="G4" s="43">
        <v>30</v>
      </c>
      <c r="H4" s="58">
        <v>43269</v>
      </c>
      <c r="I4" s="58">
        <v>45524</v>
      </c>
      <c r="J4" s="47" t="str">
        <f ca="1">_xlfn.LET(
_xlpm.Start, employee_retention_analysis__version_1__xlsb[[#This Row],[First_Working_Day]],
_xlpm.End, IF(ISBLANK(employee_retention_analysis__version_1__xlsb[[#This Row],[Last_Working_Day]]),TODAY(), employee_retention_analysis__version_1__xlsb[[#This Row],[Last_Working_Day]]),
_xlpm.Y, DATEDIF(_xlpm.Start, _xlpm.End, "Y"),
_xlpm.M, DATEDIF(_xlpm.Start, _xlpm.End, "YM"),
IF(ISBLANK(_xlpm.Start), "",
IF(_xlpm.Y=0, IF(_xlpm.M=0, "", _xlpm.M&amp; " months"),
_xlpm.Y &amp; " years "&amp; IF(_xlpm.M=0, "", _xlpm.M &amp; " months")
)
)
)</f>
        <v>6 years 2 months</v>
      </c>
      <c r="K4" s="59">
        <f ca="1">_xlfn.LET(
_xlpm.Start, employee_retention_analysis__version_1__xlsb[[#This Row],[First_Working_Day]],
_xlpm.End, IF(ISBLANK(employee_retention_analysis__version_1__xlsb[[#This Row],[Last_Working_Day]]), TODAY(), employee_retention_analysis__version_1__xlsb[[#This Row],[Last_Working_Day]]),
IF(ISBLANK(_xlpm.Start), "",
MAX(_xlpm.End - _xlpm.Start,0)/365
)
)</f>
        <v>6.1780821917808222</v>
      </c>
      <c r="L4" s="43">
        <v>70</v>
      </c>
      <c r="M4" s="47">
        <v>160</v>
      </c>
      <c r="N4" s="69">
        <v>110000</v>
      </c>
      <c r="O4" s="47">
        <v>33</v>
      </c>
      <c r="P4" s="47" t="s">
        <v>275</v>
      </c>
    </row>
    <row r="5" spans="1:20" ht="15" thickTop="1" x14ac:dyDescent="0.3"/>
    <row r="6" spans="1:20" ht="15" thickBot="1" x14ac:dyDescent="0.35"/>
    <row r="7" spans="1:20" ht="28.8" customHeight="1" thickTop="1" thickBot="1" x14ac:dyDescent="0.35">
      <c r="R7" s="70" t="s">
        <v>323</v>
      </c>
      <c r="S7" s="70"/>
    </row>
    <row r="8" spans="1:20" ht="16.8" thickTop="1" thickBot="1" x14ac:dyDescent="0.35">
      <c r="R8" s="71" t="s">
        <v>2</v>
      </c>
      <c r="S8" s="73" t="s">
        <v>15</v>
      </c>
    </row>
    <row r="9" spans="1:20" ht="16.8" thickTop="1" thickBot="1" x14ac:dyDescent="0.35">
      <c r="R9" s="72" t="s">
        <v>283</v>
      </c>
      <c r="S9" s="74">
        <f>AVERAGE(L2:L4)</f>
        <v>81.666666666666671</v>
      </c>
    </row>
    <row r="10" spans="1:20" ht="16.8" thickTop="1" thickBot="1" x14ac:dyDescent="0.35">
      <c r="R10" s="71" t="s">
        <v>324</v>
      </c>
      <c r="S10" s="73">
        <f>AVERAGE(G2:G4)</f>
        <v>43.333333333333336</v>
      </c>
      <c r="T10" s="54"/>
    </row>
    <row r="11" spans="1:20" ht="16.8" thickTop="1" thickBot="1" x14ac:dyDescent="0.35">
      <c r="R11" s="72" t="s">
        <v>325</v>
      </c>
      <c r="S11" s="74" t="s">
        <v>326</v>
      </c>
    </row>
    <row r="12" spans="1:20" ht="16.8" thickTop="1" thickBot="1" x14ac:dyDescent="0.35">
      <c r="R12" s="71" t="s">
        <v>327</v>
      </c>
      <c r="S12" s="75">
        <f>AVERAGE(N2:N4)</f>
        <v>112333.33333333333</v>
      </c>
    </row>
    <row r="13" spans="1:20" ht="15" thickTop="1" x14ac:dyDescent="0.3"/>
  </sheetData>
  <conditionalFormatting sqref="N2 O2:P3 A2:M4">
    <cfRule type="expression" dxfId="7" priority="1">
      <formula>$I2=""</formula>
    </cfRule>
  </conditionalFormatting>
  <conditionalFormatting sqref="O4">
    <cfRule type="expression" dxfId="6" priority="2">
      <formula>$I4=""</formula>
    </cfRule>
  </conditionalFormatting>
  <dataValidations disablePrompts="1" count="4">
    <dataValidation type="custom" allowBlank="1" showInputMessage="1" showErrorMessage="1" error="Last Working Day Must Be After First Working Day" sqref="I2:I4" xr:uid="{CBCF2D7D-DBDE-4EEA-AB98-67756936C8B9}">
      <formula1>OR(I2="",I2&gt;H2)</formula1>
    </dataValidation>
    <dataValidation type="custom" allowBlank="1" showInputMessage="1" showErrorMessage="1" error="First Working Day Must Be Before Last Working Day_x000a__x000a_" sqref="H2:H4" xr:uid="{0BFBEBA9-8713-4D90-938B-88D37F5B4688}">
      <formula1>OR(H2="",H2&lt;I2)</formula1>
    </dataValidation>
    <dataValidation type="custom" errorStyle="warning" allowBlank="1" showInputMessage="1" showErrorMessage="1" error="Hire Date Must Be Before First Working Day_x000a_" sqref="F2:F4" xr:uid="{10617715-195D-415A-8AA0-EE890CE2F012}">
      <formula1>OR(F1="",F1&lt;H1)</formula1>
    </dataValidation>
    <dataValidation type="custom" errorStyle="warning" allowBlank="1" showInputMessage="1" showErrorMessage="1" error="Hire Date Cannot be Before First Working Day_x000a_" sqref="F1" xr:uid="{23B40B5F-7C73-43E4-82A9-11E13325FBDC}">
      <formula1>OR(#REF!="",#REF!&lt;#REF!)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8D987-DC57-4014-AEAA-357FF18ECA8C}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C0FB2-E451-49CD-9E73-D9868E7DD0E0}">
  <dimension ref="A1:D4"/>
  <sheetViews>
    <sheetView workbookViewId="0">
      <selection activeCell="H17" sqref="H17"/>
    </sheetView>
  </sheetViews>
  <sheetFormatPr defaultRowHeight="14.4" x14ac:dyDescent="0.3"/>
  <cols>
    <col min="1" max="1" width="19.21875" customWidth="1"/>
    <col min="3" max="3" width="16.44140625" bestFit="1" customWidth="1"/>
  </cols>
  <sheetData>
    <row r="1" spans="1:4" ht="28.8" customHeight="1" x14ac:dyDescent="0.3">
      <c r="A1" s="94" t="s">
        <v>339</v>
      </c>
      <c r="B1" s="94"/>
      <c r="C1" s="94"/>
      <c r="D1" s="56"/>
    </row>
    <row r="2" spans="1:4" x14ac:dyDescent="0.3">
      <c r="A2" s="56"/>
      <c r="B2" s="95" t="s">
        <v>341</v>
      </c>
      <c r="C2" s="95" t="s">
        <v>342</v>
      </c>
      <c r="D2" s="56"/>
    </row>
    <row r="3" spans="1:4" x14ac:dyDescent="0.3">
      <c r="A3" s="95" t="s">
        <v>340</v>
      </c>
      <c r="B3" s="90">
        <f ca="1">CORREL(employee_retention_analysis__version_1__xlsb[Tenure (Years)],employee_retention_analysis__version_1__xlsb[Salary])</f>
        <v>0.74910767273008261</v>
      </c>
      <c r="C3" s="90">
        <f ca="1">CORREL(employee_retention_analysis__version_1__xlsb[Tenure (Years)],employee_retention_analysis__version_1__xlsb[Performance_Score])</f>
        <v>0.50425709892683568</v>
      </c>
      <c r="D3" s="56"/>
    </row>
    <row r="4" spans="1:4" x14ac:dyDescent="0.3">
      <c r="A4" s="56"/>
      <c r="B4" s="56"/>
      <c r="C4" s="56"/>
      <c r="D4" s="56"/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AAB84-3899-49E1-BED7-08F236C77844}">
  <dimension ref="A1:O47"/>
  <sheetViews>
    <sheetView tabSelected="1" workbookViewId="0">
      <selection activeCell="G18" sqref="G18"/>
    </sheetView>
  </sheetViews>
  <sheetFormatPr defaultRowHeight="14.4" x14ac:dyDescent="0.3"/>
  <cols>
    <col min="1" max="1" width="19.109375" bestFit="1" customWidth="1"/>
    <col min="2" max="2" width="15.5546875" bestFit="1" customWidth="1"/>
    <col min="3" max="3" width="9.5546875" bestFit="1" customWidth="1"/>
    <col min="4" max="4" width="10.5546875" bestFit="1" customWidth="1"/>
    <col min="5" max="5" width="12" bestFit="1" customWidth="1"/>
    <col min="6" max="6" width="10.5546875" bestFit="1" customWidth="1"/>
  </cols>
  <sheetData>
    <row r="1" spans="1:15" ht="16.8" thickTop="1" thickBot="1" x14ac:dyDescent="0.35">
      <c r="A1" s="14" t="s">
        <v>8</v>
      </c>
      <c r="B1" s="14" t="s">
        <v>10</v>
      </c>
      <c r="K1" s="61" t="s">
        <v>184</v>
      </c>
      <c r="N1" s="61" t="s">
        <v>184</v>
      </c>
      <c r="O1" s="61" t="s">
        <v>184</v>
      </c>
    </row>
    <row r="2" spans="1:15" ht="16.8" thickTop="1" thickBot="1" x14ac:dyDescent="0.35">
      <c r="A2" s="60">
        <v>90</v>
      </c>
      <c r="B2" s="62">
        <v>115000</v>
      </c>
      <c r="E2" s="79"/>
      <c r="K2" s="66" t="s">
        <v>184</v>
      </c>
      <c r="N2" s="66" t="s">
        <v>184</v>
      </c>
      <c r="O2" s="66" t="s">
        <v>184</v>
      </c>
    </row>
    <row r="3" spans="1:15" ht="16.8" thickTop="1" thickBot="1" x14ac:dyDescent="0.35">
      <c r="A3" s="45">
        <v>85</v>
      </c>
      <c r="B3" s="50">
        <v>112000</v>
      </c>
      <c r="E3" s="53"/>
      <c r="K3" s="47" t="s">
        <v>275</v>
      </c>
      <c r="N3" s="47" t="s">
        <v>275</v>
      </c>
      <c r="O3" s="47" t="s">
        <v>275</v>
      </c>
    </row>
    <row r="4" spans="1:15" ht="16.8" thickTop="1" thickBot="1" x14ac:dyDescent="0.35">
      <c r="A4" s="43">
        <v>70</v>
      </c>
      <c r="B4" s="48">
        <v>110000</v>
      </c>
      <c r="E4" s="53"/>
      <c r="K4" s="63" t="s">
        <v>184</v>
      </c>
      <c r="N4" s="63" t="s">
        <v>184</v>
      </c>
      <c r="O4" s="63" t="s">
        <v>184</v>
      </c>
    </row>
    <row r="5" spans="1:15" ht="16.8" thickTop="1" thickBot="1" x14ac:dyDescent="0.35">
      <c r="A5" s="45">
        <v>75</v>
      </c>
      <c r="B5" s="50">
        <v>108000</v>
      </c>
      <c r="E5" s="53"/>
      <c r="K5" s="47" t="s">
        <v>184</v>
      </c>
      <c r="N5" s="47" t="s">
        <v>184</v>
      </c>
      <c r="O5" s="47" t="s">
        <v>184</v>
      </c>
    </row>
    <row r="6" spans="1:15" ht="16.8" thickTop="1" thickBot="1" x14ac:dyDescent="0.35">
      <c r="A6" s="43">
        <v>83</v>
      </c>
      <c r="B6" s="85">
        <v>105000</v>
      </c>
      <c r="E6" s="53"/>
      <c r="K6" s="66" t="s">
        <v>184</v>
      </c>
      <c r="N6" s="66" t="s">
        <v>184</v>
      </c>
      <c r="O6" s="66" t="s">
        <v>184</v>
      </c>
    </row>
    <row r="7" spans="1:15" ht="16.8" thickTop="1" thickBot="1" x14ac:dyDescent="0.35">
      <c r="A7" s="44">
        <v>58</v>
      </c>
      <c r="B7" s="50">
        <v>40000</v>
      </c>
      <c r="E7" s="53"/>
      <c r="K7" s="47" t="s">
        <v>275</v>
      </c>
      <c r="N7" s="47" t="s">
        <v>275</v>
      </c>
      <c r="O7" s="47" t="s">
        <v>275</v>
      </c>
    </row>
    <row r="8" spans="1:15" ht="16.8" thickTop="1" thickBot="1" x14ac:dyDescent="0.35">
      <c r="A8" s="43">
        <v>68</v>
      </c>
      <c r="B8" s="48">
        <v>104000</v>
      </c>
      <c r="E8" s="53"/>
      <c r="K8" s="63" t="s">
        <v>184</v>
      </c>
      <c r="N8" s="63" t="s">
        <v>184</v>
      </c>
      <c r="O8" s="63" t="s">
        <v>184</v>
      </c>
    </row>
    <row r="9" spans="1:15" ht="16.8" thickTop="1" thickBot="1" x14ac:dyDescent="0.35">
      <c r="A9" s="45">
        <v>74</v>
      </c>
      <c r="B9" s="50">
        <v>103000</v>
      </c>
      <c r="K9" s="47" t="s">
        <v>275</v>
      </c>
      <c r="N9" s="47" t="s">
        <v>275</v>
      </c>
      <c r="O9" s="47" t="s">
        <v>275</v>
      </c>
    </row>
    <row r="10" spans="1:15" ht="16.8" thickTop="1" thickBot="1" x14ac:dyDescent="0.35">
      <c r="A10" s="43">
        <v>57</v>
      </c>
      <c r="B10" s="48">
        <v>102000</v>
      </c>
      <c r="K10" s="46" t="s">
        <v>275</v>
      </c>
      <c r="N10" s="46" t="s">
        <v>275</v>
      </c>
      <c r="O10" s="46" t="s">
        <v>275</v>
      </c>
    </row>
    <row r="11" spans="1:15" ht="16.8" thickTop="1" thickBot="1" x14ac:dyDescent="0.35">
      <c r="A11" s="44">
        <v>70</v>
      </c>
      <c r="B11" s="49">
        <v>100000</v>
      </c>
      <c r="K11" s="9"/>
      <c r="N11" s="9"/>
      <c r="O11" s="9" t="s">
        <v>275</v>
      </c>
    </row>
    <row r="12" spans="1:15" ht="16.8" thickTop="1" thickBot="1" x14ac:dyDescent="0.35">
      <c r="A12" s="10">
        <v>66</v>
      </c>
      <c r="B12" s="22">
        <v>92000</v>
      </c>
      <c r="K12" s="61" t="s">
        <v>184</v>
      </c>
      <c r="N12" s="61" t="s">
        <v>184</v>
      </c>
      <c r="O12" s="61" t="s">
        <v>184</v>
      </c>
    </row>
    <row r="13" spans="1:15" ht="16.8" thickTop="1" thickBot="1" x14ac:dyDescent="0.35">
      <c r="A13" s="43">
        <v>81</v>
      </c>
      <c r="B13" s="86">
        <v>95000</v>
      </c>
      <c r="K13" s="66" t="s">
        <v>279</v>
      </c>
      <c r="N13" s="66" t="s">
        <v>279</v>
      </c>
      <c r="O13" s="66" t="s">
        <v>279</v>
      </c>
    </row>
    <row r="14" spans="1:15" ht="16.8" thickTop="1" thickBot="1" x14ac:dyDescent="0.35">
      <c r="A14" s="44">
        <v>67</v>
      </c>
      <c r="B14" s="87">
        <v>75000</v>
      </c>
      <c r="K14" s="61" t="s">
        <v>184</v>
      </c>
      <c r="N14" s="61" t="s">
        <v>184</v>
      </c>
      <c r="O14" s="61" t="s">
        <v>184</v>
      </c>
    </row>
    <row r="15" spans="1:15" ht="16.8" thickTop="1" thickBot="1" x14ac:dyDescent="0.35">
      <c r="A15" s="47">
        <v>50</v>
      </c>
      <c r="B15" s="86">
        <v>90000</v>
      </c>
      <c r="K15" s="66" t="s">
        <v>184</v>
      </c>
      <c r="N15" s="66" t="s">
        <v>184</v>
      </c>
      <c r="O15" s="66" t="s">
        <v>184</v>
      </c>
    </row>
    <row r="16" spans="1:15" ht="16.8" thickTop="1" thickBot="1" x14ac:dyDescent="0.35">
      <c r="A16" s="45">
        <v>66</v>
      </c>
      <c r="B16" s="87">
        <v>65000</v>
      </c>
      <c r="K16" s="47" t="s">
        <v>275</v>
      </c>
      <c r="N16" s="47" t="s">
        <v>275</v>
      </c>
      <c r="O16" s="47" t="s">
        <v>275</v>
      </c>
    </row>
    <row r="17" spans="1:15" ht="16.8" thickTop="1" thickBot="1" x14ac:dyDescent="0.35">
      <c r="A17" s="43">
        <v>68</v>
      </c>
      <c r="B17" s="88">
        <v>69000</v>
      </c>
      <c r="K17" s="66" t="s">
        <v>184</v>
      </c>
      <c r="N17" s="66" t="s">
        <v>184</v>
      </c>
      <c r="O17" s="66" t="s">
        <v>184</v>
      </c>
    </row>
    <row r="18" spans="1:15" ht="16.8" thickTop="1" thickBot="1" x14ac:dyDescent="0.35">
      <c r="A18" s="45">
        <v>55</v>
      </c>
      <c r="B18" s="87">
        <v>91000</v>
      </c>
      <c r="K18" s="47" t="s">
        <v>275</v>
      </c>
      <c r="N18" s="47" t="s">
        <v>275</v>
      </c>
      <c r="O18" s="47" t="s">
        <v>275</v>
      </c>
    </row>
    <row r="19" spans="1:15" ht="16.8" thickTop="1" thickBot="1" x14ac:dyDescent="0.35">
      <c r="A19" s="43">
        <v>61</v>
      </c>
      <c r="B19" s="88">
        <v>88000</v>
      </c>
      <c r="K19" s="46" t="s">
        <v>275</v>
      </c>
      <c r="N19" s="46" t="s">
        <v>275</v>
      </c>
      <c r="O19" s="46" t="s">
        <v>275</v>
      </c>
    </row>
    <row r="20" spans="1:15" ht="16.8" thickTop="1" thickBot="1" x14ac:dyDescent="0.35">
      <c r="A20" s="44">
        <v>78</v>
      </c>
      <c r="B20" s="89">
        <v>87000</v>
      </c>
      <c r="K20" s="61" t="s">
        <v>184</v>
      </c>
      <c r="N20" s="61" t="s">
        <v>184</v>
      </c>
      <c r="O20" s="61" t="s">
        <v>184</v>
      </c>
    </row>
    <row r="21" spans="1:15" ht="16.8" thickTop="1" thickBot="1" x14ac:dyDescent="0.35">
      <c r="A21" s="43">
        <v>52</v>
      </c>
      <c r="B21" s="86">
        <v>49000</v>
      </c>
      <c r="K21" s="63" t="s">
        <v>184</v>
      </c>
      <c r="N21" s="63" t="s">
        <v>184</v>
      </c>
      <c r="O21" s="63" t="s">
        <v>184</v>
      </c>
    </row>
    <row r="22" spans="1:15" ht="16.8" thickTop="1" thickBot="1" x14ac:dyDescent="0.35">
      <c r="A22" s="45">
        <v>51</v>
      </c>
      <c r="B22" s="87">
        <v>40000</v>
      </c>
      <c r="K22" s="47" t="s">
        <v>275</v>
      </c>
      <c r="N22" s="47" t="s">
        <v>275</v>
      </c>
      <c r="O22" s="47" t="s">
        <v>275</v>
      </c>
    </row>
    <row r="23" spans="1:15" ht="16.8" thickTop="1" thickBot="1" x14ac:dyDescent="0.35">
      <c r="A23" s="43">
        <v>52</v>
      </c>
      <c r="B23" s="88">
        <v>87000</v>
      </c>
      <c r="K23" s="46" t="s">
        <v>275</v>
      </c>
      <c r="N23" s="46" t="s">
        <v>275</v>
      </c>
      <c r="O23" s="46" t="s">
        <v>275</v>
      </c>
    </row>
    <row r="24" spans="1:15" ht="16.8" thickTop="1" thickBot="1" x14ac:dyDescent="0.35">
      <c r="A24" s="44">
        <v>72</v>
      </c>
      <c r="B24" s="89">
        <v>85000</v>
      </c>
      <c r="K24" s="47" t="s">
        <v>275</v>
      </c>
      <c r="N24" s="47" t="s">
        <v>275</v>
      </c>
      <c r="O24" s="47" t="s">
        <v>275</v>
      </c>
    </row>
    <row r="25" spans="1:15" ht="16.8" thickTop="1" thickBot="1" x14ac:dyDescent="0.35">
      <c r="A25" s="43">
        <v>56</v>
      </c>
      <c r="B25" s="88">
        <v>83000</v>
      </c>
      <c r="K25" s="66" t="s">
        <v>184</v>
      </c>
      <c r="N25" s="66" t="s">
        <v>184</v>
      </c>
      <c r="O25" s="66" t="s">
        <v>184</v>
      </c>
    </row>
    <row r="26" spans="1:15" ht="16.8" thickTop="1" thickBot="1" x14ac:dyDescent="0.35">
      <c r="A26" s="44">
        <v>60</v>
      </c>
      <c r="B26" s="87">
        <v>80000</v>
      </c>
      <c r="K26" s="47" t="s">
        <v>275</v>
      </c>
      <c r="N26" s="47" t="s">
        <v>275</v>
      </c>
      <c r="O26" s="47" t="s">
        <v>275</v>
      </c>
    </row>
    <row r="27" spans="1:15" ht="16.8" thickTop="1" thickBot="1" x14ac:dyDescent="0.35">
      <c r="A27" s="43">
        <v>76</v>
      </c>
      <c r="B27" s="88">
        <v>80000</v>
      </c>
      <c r="K27" s="46" t="s">
        <v>275</v>
      </c>
      <c r="N27" s="46" t="s">
        <v>275</v>
      </c>
      <c r="O27" s="46" t="s">
        <v>275</v>
      </c>
    </row>
    <row r="28" spans="1:15" ht="16.8" thickTop="1" thickBot="1" x14ac:dyDescent="0.35">
      <c r="A28" s="44">
        <v>50</v>
      </c>
      <c r="B28" s="89">
        <v>78000</v>
      </c>
      <c r="K28" s="47" t="s">
        <v>275</v>
      </c>
      <c r="N28" s="47" t="s">
        <v>275</v>
      </c>
      <c r="O28" s="47" t="s">
        <v>275</v>
      </c>
    </row>
    <row r="29" spans="1:15" ht="16.8" thickTop="1" thickBot="1" x14ac:dyDescent="0.35">
      <c r="A29" s="43">
        <v>64</v>
      </c>
      <c r="B29" s="88">
        <v>77000</v>
      </c>
      <c r="K29" s="46" t="s">
        <v>275</v>
      </c>
      <c r="N29" s="46" t="s">
        <v>275</v>
      </c>
      <c r="O29" s="46" t="s">
        <v>275</v>
      </c>
    </row>
    <row r="30" spans="1:15" ht="16.8" thickTop="1" thickBot="1" x14ac:dyDescent="0.35">
      <c r="A30" s="44">
        <v>58</v>
      </c>
      <c r="B30" s="89">
        <v>73000</v>
      </c>
      <c r="K30" s="47" t="s">
        <v>275</v>
      </c>
      <c r="N30" s="47" t="s">
        <v>275</v>
      </c>
      <c r="O30" s="47" t="s">
        <v>275</v>
      </c>
    </row>
    <row r="31" spans="1:15" ht="16.8" thickTop="1" thickBot="1" x14ac:dyDescent="0.35">
      <c r="A31" s="43">
        <v>62</v>
      </c>
      <c r="B31" s="88">
        <v>72000</v>
      </c>
      <c r="K31" s="46" t="s">
        <v>275</v>
      </c>
      <c r="N31" s="46" t="s">
        <v>275</v>
      </c>
      <c r="O31" s="46" t="s">
        <v>275</v>
      </c>
    </row>
    <row r="32" spans="1:15" ht="16.8" thickTop="1" thickBot="1" x14ac:dyDescent="0.35">
      <c r="A32" s="44">
        <v>73</v>
      </c>
      <c r="B32" s="89">
        <v>70000</v>
      </c>
      <c r="K32" s="47" t="s">
        <v>275</v>
      </c>
      <c r="N32" s="47" t="s">
        <v>275</v>
      </c>
      <c r="O32" s="47" t="s">
        <v>275</v>
      </c>
    </row>
    <row r="33" spans="1:15" ht="16.8" thickTop="1" thickBot="1" x14ac:dyDescent="0.35">
      <c r="A33" s="43">
        <v>63</v>
      </c>
      <c r="B33" s="88">
        <v>68000</v>
      </c>
      <c r="K33" s="46" t="s">
        <v>275</v>
      </c>
      <c r="N33" s="46" t="s">
        <v>275</v>
      </c>
      <c r="O33" s="46" t="s">
        <v>275</v>
      </c>
    </row>
    <row r="34" spans="1:15" ht="16.8" thickTop="1" thickBot="1" x14ac:dyDescent="0.35">
      <c r="A34" s="44">
        <v>50</v>
      </c>
      <c r="B34" s="89">
        <v>67000</v>
      </c>
      <c r="K34" s="47" t="s">
        <v>275</v>
      </c>
      <c r="N34" s="47" t="s">
        <v>275</v>
      </c>
      <c r="O34" s="47" t="s">
        <v>275</v>
      </c>
    </row>
    <row r="35" spans="1:15" ht="16.8" thickTop="1" thickBot="1" x14ac:dyDescent="0.35">
      <c r="A35" s="43">
        <v>59</v>
      </c>
      <c r="B35" s="88">
        <v>65000</v>
      </c>
      <c r="K35" s="46" t="s">
        <v>275</v>
      </c>
      <c r="N35" s="46" t="s">
        <v>275</v>
      </c>
      <c r="O35" s="46" t="s">
        <v>275</v>
      </c>
    </row>
    <row r="36" spans="1:15" ht="16.8" thickTop="1" thickBot="1" x14ac:dyDescent="0.35">
      <c r="A36" s="44">
        <v>54</v>
      </c>
      <c r="B36" s="89">
        <v>63000</v>
      </c>
      <c r="K36" s="47" t="s">
        <v>275</v>
      </c>
      <c r="N36" s="47" t="s">
        <v>275</v>
      </c>
      <c r="O36" s="47" t="s">
        <v>275</v>
      </c>
    </row>
    <row r="37" spans="1:15" ht="16.8" thickTop="1" thickBot="1" x14ac:dyDescent="0.35">
      <c r="A37" s="43">
        <v>60</v>
      </c>
      <c r="B37" s="88">
        <v>60000</v>
      </c>
      <c r="K37" s="46" t="s">
        <v>275</v>
      </c>
      <c r="N37" s="46" t="s">
        <v>275</v>
      </c>
      <c r="O37" s="46" t="s">
        <v>275</v>
      </c>
    </row>
    <row r="38" spans="1:15" ht="16.8" thickTop="1" thickBot="1" x14ac:dyDescent="0.35">
      <c r="A38" s="44">
        <v>63</v>
      </c>
      <c r="B38" s="89">
        <v>58000</v>
      </c>
      <c r="K38" s="47" t="s">
        <v>275</v>
      </c>
      <c r="N38" s="47" t="s">
        <v>275</v>
      </c>
      <c r="O38" s="47" t="s">
        <v>275</v>
      </c>
    </row>
    <row r="39" spans="1:15" ht="16.8" thickTop="1" thickBot="1" x14ac:dyDescent="0.35">
      <c r="A39" s="43">
        <v>70</v>
      </c>
      <c r="B39" s="88">
        <v>57000</v>
      </c>
      <c r="K39" s="46" t="s">
        <v>275</v>
      </c>
      <c r="N39" s="46" t="s">
        <v>275</v>
      </c>
      <c r="O39" s="46" t="s">
        <v>275</v>
      </c>
    </row>
    <row r="40" spans="1:15" ht="16.8" thickTop="1" thickBot="1" x14ac:dyDescent="0.35">
      <c r="A40" s="44">
        <v>64</v>
      </c>
      <c r="B40" s="89">
        <v>54000</v>
      </c>
      <c r="K40" s="47" t="s">
        <v>275</v>
      </c>
      <c r="N40" s="47" t="s">
        <v>275</v>
      </c>
      <c r="O40" s="47" t="s">
        <v>275</v>
      </c>
    </row>
    <row r="41" spans="1:15" ht="16.8" thickTop="1" thickBot="1" x14ac:dyDescent="0.35">
      <c r="A41" s="43">
        <v>56</v>
      </c>
      <c r="B41" s="88">
        <v>54000</v>
      </c>
      <c r="K41" s="46" t="s">
        <v>275</v>
      </c>
      <c r="N41" s="46" t="s">
        <v>275</v>
      </c>
      <c r="O41" s="46" t="s">
        <v>275</v>
      </c>
    </row>
    <row r="42" spans="1:15" ht="16.8" thickTop="1" thickBot="1" x14ac:dyDescent="0.35">
      <c r="A42" s="44">
        <v>53</v>
      </c>
      <c r="B42" s="89">
        <v>45000</v>
      </c>
      <c r="K42" s="47" t="s">
        <v>275</v>
      </c>
      <c r="N42" s="47" t="s">
        <v>275</v>
      </c>
      <c r="O42" s="47" t="s">
        <v>275</v>
      </c>
    </row>
    <row r="43" spans="1:15" ht="16.8" thickTop="1" thickBot="1" x14ac:dyDescent="0.35">
      <c r="A43" s="43">
        <v>62</v>
      </c>
      <c r="B43" s="88">
        <v>42000</v>
      </c>
      <c r="K43" s="46" t="s">
        <v>275</v>
      </c>
      <c r="N43" s="46" t="s">
        <v>275</v>
      </c>
      <c r="O43" s="46" t="s">
        <v>275</v>
      </c>
    </row>
    <row r="44" spans="1:15" ht="16.8" thickTop="1" thickBot="1" x14ac:dyDescent="0.35">
      <c r="A44" s="44">
        <v>67</v>
      </c>
      <c r="B44" s="89">
        <v>35000</v>
      </c>
      <c r="K44" s="47" t="s">
        <v>275</v>
      </c>
      <c r="N44" s="47" t="s">
        <v>275</v>
      </c>
      <c r="O44" s="47" t="s">
        <v>275</v>
      </c>
    </row>
    <row r="45" spans="1:15" ht="16.8" thickTop="1" thickBot="1" x14ac:dyDescent="0.35">
      <c r="A45" s="43">
        <v>56</v>
      </c>
      <c r="B45" s="88">
        <v>32000</v>
      </c>
      <c r="K45" s="46" t="s">
        <v>275</v>
      </c>
      <c r="N45" s="46" t="s">
        <v>275</v>
      </c>
      <c r="O45" s="46" t="s">
        <v>275</v>
      </c>
    </row>
    <row r="46" spans="1:15" ht="16.8" thickTop="1" thickBot="1" x14ac:dyDescent="0.35">
      <c r="A46" s="46">
        <v>41</v>
      </c>
      <c r="B46" s="89">
        <v>31000</v>
      </c>
    </row>
    <row r="47" spans="1:15" ht="15" thickTop="1" x14ac:dyDescent="0.3"/>
  </sheetData>
  <conditionalFormatting sqref="A2:A46">
    <cfRule type="expression" dxfId="5" priority="3">
      <formula>$I2=""</formula>
    </cfRule>
  </conditionalFormatting>
  <conditionalFormatting sqref="B2">
    <cfRule type="expression" dxfId="4" priority="2">
      <formula>$I2=""</formula>
    </cfRule>
  </conditionalFormatting>
  <conditionalFormatting sqref="B6">
    <cfRule type="expression" dxfId="3" priority="1">
      <formula>$I6=""</formula>
    </cfRule>
  </conditionalFormatting>
  <conditionalFormatting sqref="K1:K2 K4:K5 K7 K10 K13 K19 K30 K40">
    <cfRule type="expression" dxfId="2" priority="6">
      <formula>$I1=""</formula>
    </cfRule>
  </conditionalFormatting>
  <conditionalFormatting sqref="N1:O2 N4:O5 N7:O7 N10:O10 N13:O13 N19:O19 N30:O30 N40:O40">
    <cfRule type="expression" dxfId="1" priority="4">
      <formula>$I1=""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845A6E-401F-414D-BAD3-A57EA84F75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 Table</vt:lpstr>
      <vt:lpstr>Regression Analysis</vt:lpstr>
      <vt:lpstr>Retention Analysis</vt:lpstr>
      <vt:lpstr>Line charts</vt:lpstr>
      <vt:lpstr>Top 3 Employee Tenure</vt:lpstr>
      <vt:lpstr>Employee Retention by Dept</vt:lpstr>
      <vt:lpstr>Correlation Coefficient</vt:lpstr>
      <vt:lpstr>Extra columns for 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jenna mirecki</dc:creator>
  <cp:lastModifiedBy>jenna mirecki</cp:lastModifiedBy>
  <dcterms:created xsi:type="dcterms:W3CDTF">2025-10-29T00:49:52Z</dcterms:created>
  <dcterms:modified xsi:type="dcterms:W3CDTF">2025-10-31T21:26:11Z</dcterms:modified>
</cp:coreProperties>
</file>